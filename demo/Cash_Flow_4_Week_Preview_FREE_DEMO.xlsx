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Forecast" sheetId="2" state="visible" r:id="rId4"/>
    <sheet name="Settings" sheetId="3" state="visible" r:id="rId5"/>
    <sheet name="Recurring" sheetId="4" state="visible" r:id="rId6"/>
    <sheet name="Receivables" sheetId="5" state="visible" r:id="rId7"/>
    <sheet name="Payables" sheetId="6" state="visible" r:id="rId8"/>
    <sheet name="One-off Item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8" authorId="0">
      <text>
        <r>
          <rPr>
            <sz val="10"/>
            <rFont val="Arial"/>
            <family val="2"/>
          </rPr>
          <t xml:space="preserve">Many businesses keep 2-4 weeks of costs as a buffer.</t>
        </r>
      </text>
    </comment>
    <comment ref="B16" authorId="0">
      <text>
        <r>
          <rPr>
            <sz val="10"/>
            <rFont val="Arial"/>
            <family val="2"/>
          </rPr>
          <t xml:space="preserve">Used when an invoice has no 'days late' of its own.</t>
        </r>
      </text>
    </comment>
  </commentList>
</comments>
</file>

<file path=xl/sharedStrings.xml><?xml version="1.0" encoding="utf-8"?>
<sst xmlns="http://schemas.openxmlformats.org/spreadsheetml/2006/main" count="223" uniqueCount="164">
  <si>
    <t xml:space="preserve">4-Week Cash Flow Preview (Free Demo)</t>
  </si>
  <si>
    <t xml:space="preserve">FREE DEMO by LaneLedger Co.  ·  Microsoft Excel and Google Sheets</t>
  </si>
  <si>
    <t xml:space="preserve">See your cash balance for the next 4 weeks, with recurring bills, open invoices and supplier bills placed in the right week.</t>
  </si>
  <si>
    <t xml:space="preserve">What this free demo includes</t>
  </si>
  <si>
    <t xml:space="preserve">•  4-week forecast: cash in, cash out by category, ending cash, credit line draws and status flags</t>
  </si>
  <si>
    <t xml:space="preserve">•  Recurring engine: weekly, every 2 weeks, monthly, quarterly and yearly items placed automatically (12 rows)</t>
  </si>
  <si>
    <t xml:space="preserve">•  Receivables with late-payer delays, Payables and One-off Items (a few rows each)</t>
  </si>
  <si>
    <t xml:space="preserve">•  Settings with Best / Base / Worst scenarios</t>
  </si>
  <si>
    <t xml:space="preserve">The full version adds</t>
  </si>
  <si>
    <t xml:space="preserve">•  The full 13-week horizon with totals and actual vs. forecast</t>
  </si>
  <si>
    <t xml:space="preserve">•  Dashboard: lowest cash point, weeks below buffer, credit needed, runway, two charts and a plain-English action plan</t>
  </si>
  <si>
    <t xml:space="preserve">•  Up to 60 rows on every input tab</t>
  </si>
  <si>
    <t xml:space="preserve">Get the full version on Etsy →</t>
  </si>
  <si>
    <t xml:space="preserve">Colour key</t>
  </si>
  <si>
    <t xml:space="preserve">Pale yellow cells are the cells you fill in. Grey cells calculate automatically.</t>
  </si>
  <si>
    <t xml:space="preserve">This demo is free to use in your own business. Please don't resell it.</t>
  </si>
  <si>
    <t xml:space="preserve">4-Week Forecast (Free Demo)</t>
  </si>
  <si>
    <t xml:space="preserve">Weekly cash in, cash out and ending balance. Updates from every input tab.</t>
  </si>
  <si>
    <t xml:space="preserve">Free demo · Get the full 13-week forecast on Etsy →</t>
  </si>
  <si>
    <t xml:space="preserve">Week</t>
  </si>
  <si>
    <t xml:space="preserve">Week 1</t>
  </si>
  <si>
    <t xml:space="preserve">Week 2</t>
  </si>
  <si>
    <t xml:space="preserve">Week 3</t>
  </si>
  <si>
    <t xml:space="preserve">Week 4</t>
  </si>
  <si>
    <t xml:space="preserve">Week starts</t>
  </si>
  <si>
    <t xml:space="preserve">Week ends</t>
  </si>
  <si>
    <t xml:space="preserve">Opening cash</t>
  </si>
  <si>
    <t xml:space="preserve">Weeks 5-13, totals and the Dashboard</t>
  </si>
  <si>
    <t xml:space="preserve">Cash in</t>
  </si>
  <si>
    <t xml:space="preserve">are in the full version →</t>
  </si>
  <si>
    <t xml:space="preserve">Customer collections (receivables)</t>
  </si>
  <si>
    <t xml:space="preserve">Recurring income</t>
  </si>
  <si>
    <t xml:space="preserve">Other inflows (one-off)</t>
  </si>
  <si>
    <t xml:space="preserve">Total cash in</t>
  </si>
  <si>
    <t xml:space="preserve">Cash out</t>
  </si>
  <si>
    <t xml:space="preserve">Payroll</t>
  </si>
  <si>
    <t xml:space="preserve">Rent &amp; Utilities</t>
  </si>
  <si>
    <t xml:space="preserve">Software &amp; Subscriptions</t>
  </si>
  <si>
    <t xml:space="preserve">Marketing</t>
  </si>
  <si>
    <t xml:space="preserve">Loan Payments</t>
  </si>
  <si>
    <t xml:space="preserve">Taxes</t>
  </si>
  <si>
    <t xml:space="preserve">Other Expenses</t>
  </si>
  <si>
    <t xml:space="preserve">Other recurring outflows</t>
  </si>
  <si>
    <t xml:space="preserve">Supplier bills (payables)</t>
  </si>
  <si>
    <t xml:space="preserve">Other outflows (one-off)</t>
  </si>
  <si>
    <t xml:space="preserve">Total cash out</t>
  </si>
  <si>
    <t xml:space="preserve">Net cash flow</t>
  </si>
  <si>
    <t xml:space="preserve">Credit line interest (estimate)</t>
  </si>
  <si>
    <t xml:space="preserve">Credit line draw</t>
  </si>
  <si>
    <t xml:space="preserve">Credit line repayment</t>
  </si>
  <si>
    <t xml:space="preserve">ENDING CASH</t>
  </si>
  <si>
    <t xml:space="preserve">Credit line balance</t>
  </si>
  <si>
    <t xml:space="preserve">Minimum cash buffer</t>
  </si>
  <si>
    <t xml:space="preserve">Status</t>
  </si>
  <si>
    <t xml:space="preserve">Cash with no credit line (for runway)</t>
  </si>
  <si>
    <t xml:space="preserve">Actual ending cash (enter each week)</t>
  </si>
  <si>
    <t xml:space="preserve">Difference: actual − forecast</t>
  </si>
  <si>
    <t xml:space="preserve">Settings</t>
  </si>
  <si>
    <t xml:space="preserve">Your starting point and assumptions. Every other tab reads from here.</t>
  </si>
  <si>
    <t xml:space="preserve">Business</t>
  </si>
  <si>
    <t xml:space="preserve">Categories</t>
  </si>
  <si>
    <t xml:space="preserve">Business name</t>
  </si>
  <si>
    <t xml:space="preserve">Example: Harbor Design Studio</t>
  </si>
  <si>
    <t xml:space="preserve">Forecast start date (Monday of week 1)</t>
  </si>
  <si>
    <t xml:space="preserve">Bank balance at the start date</t>
  </si>
  <si>
    <t xml:space="preserve">Minimum cash buffer (never go below)</t>
  </si>
  <si>
    <t xml:space="preserve">Credit line (optional)</t>
  </si>
  <si>
    <t xml:space="preserve">Credit line limit (0 if none)</t>
  </si>
  <si>
    <t xml:space="preserve">Credit line balance at the start date</t>
  </si>
  <si>
    <t xml:space="preserve">Sales &amp; Retainers</t>
  </si>
  <si>
    <t xml:space="preserve">Credit line interest rate (yearly, estimate)</t>
  </si>
  <si>
    <t xml:space="preserve">Other Income</t>
  </si>
  <si>
    <t xml:space="preserve">Collections</t>
  </si>
  <si>
    <t xml:space="preserve">Rows 5-11 are expense categories (shown</t>
  </si>
  <si>
    <t xml:space="preserve">Default days late for customer invoices</t>
  </si>
  <si>
    <t xml:space="preserve">on the Forecast). Rows 12-13 are income.</t>
  </si>
  <si>
    <t xml:space="preserve">Scenario</t>
  </si>
  <si>
    <t xml:space="preserve">Active scenario</t>
  </si>
  <si>
    <t xml:space="preserve">Base</t>
  </si>
  <si>
    <t xml:space="preserve">Scenario assumptions</t>
  </si>
  <si>
    <t xml:space="preserve">Best</t>
  </si>
  <si>
    <t xml:space="preserve">Worst</t>
  </si>
  <si>
    <t xml:space="preserve">Active</t>
  </si>
  <si>
    <t xml:space="preserve">Recurring income multiplier</t>
  </si>
  <si>
    <t xml:space="preserve">Extra collection delay (days)</t>
  </si>
  <si>
    <t xml:space="preserve">Recurring expense multiplier</t>
  </si>
  <si>
    <t xml:space="preserve">Recurring Items</t>
  </si>
  <si>
    <t xml:space="preserve">Regular income and costs. Each item is placed in the right weeks automatically.</t>
  </si>
  <si>
    <t xml:space="preserve">Amount falling in each week (by week start date)</t>
  </si>
  <si>
    <t xml:space="preserve">Item</t>
  </si>
  <si>
    <t xml:space="preserve">Category</t>
  </si>
  <si>
    <t xml:space="preserve">Type</t>
  </si>
  <si>
    <t xml:space="preserve">Amount</t>
  </si>
  <si>
    <t xml:space="preserve">Frequency</t>
  </si>
  <si>
    <t xml:space="preserve">First date</t>
  </si>
  <si>
    <t xml:space="preserve">End date (optional)</t>
  </si>
  <si>
    <t xml:space="preserve">Team payroll</t>
  </si>
  <si>
    <t xml:space="preserve">Outflow</t>
  </si>
  <si>
    <t xml:space="preserve">Every 2 weeks</t>
  </si>
  <si>
    <t xml:space="preserve">Owner pay</t>
  </si>
  <si>
    <t xml:space="preserve">Monthly</t>
  </si>
  <si>
    <t xml:space="preserve">Office rent</t>
  </si>
  <si>
    <t xml:space="preserve">Utilities &amp; internet</t>
  </si>
  <si>
    <t xml:space="preserve">Software subscriptions</t>
  </si>
  <si>
    <t xml:space="preserve">Ads &amp; marketing</t>
  </si>
  <si>
    <t xml:space="preserve">Equipment loan</t>
  </si>
  <si>
    <t xml:space="preserve">Estimated tax</t>
  </si>
  <si>
    <t xml:space="preserve">Quarterly</t>
  </si>
  <si>
    <t xml:space="preserve">Business insurance</t>
  </si>
  <si>
    <t xml:space="preserve">Yearly</t>
  </si>
  <si>
    <t xml:space="preserve">Retainer: Client A</t>
  </si>
  <si>
    <t xml:space="preserve">Inflow</t>
  </si>
  <si>
    <t xml:space="preserve">Retainer: Client B</t>
  </si>
  <si>
    <t xml:space="preserve">Small projects &amp; card sales</t>
  </si>
  <si>
    <t xml:space="preserve">Weekly</t>
  </si>
  <si>
    <t xml:space="preserve">Full version: up to 60 recurring items →</t>
  </si>
  <si>
    <t xml:space="preserve">Receivables</t>
  </si>
  <si>
    <t xml:space="preserve">Open customer invoices. Expected collection = due date + days late (+ scenario delay).</t>
  </si>
  <si>
    <t xml:space="preserve">Customer</t>
  </si>
  <si>
    <t xml:space="preserve">Invoice #</t>
  </si>
  <si>
    <t xml:space="preserve">Due date</t>
  </si>
  <si>
    <t xml:space="preserve">Days late (optional)</t>
  </si>
  <si>
    <t xml:space="preserve">Expected collection</t>
  </si>
  <si>
    <t xml:space="preserve">Notes</t>
  </si>
  <si>
    <t xml:space="preserve">Open receivables</t>
  </si>
  <si>
    <t xml:space="preserve">Northwind Co.</t>
  </si>
  <si>
    <t xml:space="preserve">INV-1041</t>
  </si>
  <si>
    <t xml:space="preserve">Open</t>
  </si>
  <si>
    <t xml:space="preserve">Overdue (expected before start)</t>
  </si>
  <si>
    <t xml:space="preserve">Blue Fin Foods</t>
  </si>
  <si>
    <t xml:space="preserve">INV-1043</t>
  </si>
  <si>
    <t xml:space="preserve">Atlas Health</t>
  </si>
  <si>
    <t xml:space="preserve">INV-1044</t>
  </si>
  <si>
    <t xml:space="preserve">Maple &amp; Co.</t>
  </si>
  <si>
    <t xml:space="preserve">INV-1046</t>
  </si>
  <si>
    <t xml:space="preserve">INV-1048</t>
  </si>
  <si>
    <t xml:space="preserve">Riverbend Dental</t>
  </si>
  <si>
    <t xml:space="preserve">INV-1050</t>
  </si>
  <si>
    <t xml:space="preserve">Full version: up to 60 invoices →</t>
  </si>
  <si>
    <t xml:space="preserve">Payables</t>
  </si>
  <si>
    <t xml:space="preserve">Unpaid supplier bills. Each bill is paid in the week of its due date.</t>
  </si>
  <si>
    <t xml:space="preserve">Supplier</t>
  </si>
  <si>
    <t xml:space="preserve">Bill #</t>
  </si>
  <si>
    <t xml:space="preserve">Unpaid bills</t>
  </si>
  <si>
    <t xml:space="preserve">Print Partners</t>
  </si>
  <si>
    <t xml:space="preserve">B-221</t>
  </si>
  <si>
    <t xml:space="preserve">Unpaid</t>
  </si>
  <si>
    <t xml:space="preserve">Cloud Hosting Ltd</t>
  </si>
  <si>
    <t xml:space="preserve">B-224</t>
  </si>
  <si>
    <t xml:space="preserve">Office Supply Hub</t>
  </si>
  <si>
    <t xml:space="preserve">B-230</t>
  </si>
  <si>
    <t xml:space="preserve">Freelance developer</t>
  </si>
  <si>
    <t xml:space="preserve">B-233</t>
  </si>
  <si>
    <t xml:space="preserve">Video production</t>
  </si>
  <si>
    <t xml:space="preserve">B-238</t>
  </si>
  <si>
    <t xml:space="preserve">Full version: up to 60 bills →</t>
  </si>
  <si>
    <t xml:space="preserve">One-off Items</t>
  </si>
  <si>
    <t xml:space="preserve">Anything else with a date: tax bills, equipment, loans received, big deposits, bonuses.</t>
  </si>
  <si>
    <t xml:space="preserve">Date</t>
  </si>
  <si>
    <t xml:space="preserve">Description</t>
  </si>
  <si>
    <t xml:space="preserve">New laptops for the team</t>
  </si>
  <si>
    <t xml:space="preserve">Deposit: year-end campaign project</t>
  </si>
  <si>
    <t xml:space="preserve">Holiday bonuses</t>
  </si>
  <si>
    <t xml:space="preserve">Full version: up to 60 one-off items →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</si>
</sst>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 mmm\ yy"/>
    <numFmt numFmtId="166" formatCode="#,##0;[RED]\-#,##0;\-"/>
    <numFmt numFmtId="167" formatCode="0.0%"/>
    <numFmt numFmtId="168" formatCode="0"/>
    <numFmt numFmtId="169" formatCode="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5A"/>
      <name val="Arial"/>
      <family val="0"/>
      <charset val="1"/>
    </font>
    <font>
      <i val="true"/>
      <sz val="10"/>
      <color rgb="FF5A6770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2"/>
      <color rgb="FF1F4E5A"/>
      <name val="Arial"/>
      <family val="0"/>
      <charset val="1"/>
    </font>
    <font>
      <b val="true"/>
      <u val="single"/>
      <sz val="12"/>
      <color rgb="FF1A5FB4"/>
      <name val="Arial"/>
      <family val="0"/>
      <charset val="1"/>
    </font>
    <font>
      <b val="true"/>
      <u val="single"/>
      <sz val="10"/>
      <color rgb="FF1A5FB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22222"/>
      <name val="Arial"/>
      <family val="0"/>
      <charset val="1"/>
    </font>
    <font>
      <b val="true"/>
      <sz val="10"/>
      <color rgb="FF1F4E5A"/>
      <name val="Arial"/>
      <family val="0"/>
      <charset val="1"/>
    </font>
    <font>
      <b val="true"/>
      <sz val="9"/>
      <color rgb="FF222222"/>
      <name val="Arial"/>
      <family val="0"/>
      <charset val="1"/>
    </font>
    <font>
      <sz val="10"/>
      <color rgb="FF1A3D8F"/>
      <name val="Arial"/>
      <family val="0"/>
      <charset val="1"/>
    </font>
    <font>
      <i val="true"/>
      <sz val="9"/>
      <color rgb="FF5A6770"/>
      <name val="Arial"/>
      <family val="0"/>
      <charset val="1"/>
    </font>
    <font>
      <sz val="10"/>
      <name val="Arial"/>
      <family val="2"/>
    </font>
    <font>
      <b val="true"/>
      <sz val="9"/>
      <color rgb="FF5A677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222222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6D6"/>
        <bgColor rgb="FFF4F5F6"/>
      </patternFill>
    </fill>
    <fill>
      <patternFill patternType="solid">
        <fgColor rgb="FF1F4E5A"/>
        <bgColor rgb="FF1A3D8F"/>
      </patternFill>
    </fill>
    <fill>
      <patternFill patternType="solid">
        <fgColor rgb="FFEDEFF0"/>
        <bgColor rgb="FFE3EEF0"/>
      </patternFill>
    </fill>
    <fill>
      <patternFill patternType="solid">
        <fgColor rgb="FFF4F5F6"/>
        <bgColor rgb="FFEDEFF0"/>
      </patternFill>
    </fill>
    <fill>
      <patternFill patternType="solid">
        <fgColor rgb="FFE3EEF0"/>
        <bgColor rgb="FFDFF0E3"/>
      </patternFill>
    </fill>
    <fill>
      <patternFill patternType="solid">
        <fgColor rgb="FFD9A441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ADD"/>
      </left>
      <right style="thin">
        <color rgb="FFD5DADD"/>
      </right>
      <top style="thin">
        <color rgb="FFD5DADD"/>
      </top>
      <bottom style="thin">
        <color rgb="FFD5DA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1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1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6" fontId="6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1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4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4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4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8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9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9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6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6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1E7B3A"/>
        <sz val="10"/>
      </font>
      <fill>
        <patternFill>
          <bgColor rgb="FFDFF0E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B3A"/>
      <rgbColor rgb="FF000080"/>
      <rgbColor rgb="FF808000"/>
      <rgbColor rgb="FF800080"/>
      <rgbColor rgb="FF008080"/>
      <rgbColor rgb="FF9FC3CB"/>
      <rgbColor rgb="FF808080"/>
      <rgbColor rgb="FF9999FF"/>
      <rgbColor rgb="FF993366"/>
      <rgbColor rgb="FFFFF6D6"/>
      <rgbColor rgb="FFE3EEF0"/>
      <rgbColor rgb="FF660066"/>
      <rgbColor rgb="FFFF8080"/>
      <rgbColor rgb="FF1A5FB4"/>
      <rgbColor rgb="FFD5DA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FF0"/>
      <rgbColor rgb="FFDFF0E3"/>
      <rgbColor rgb="FFF4F5F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9A441"/>
      <rgbColor rgb="FFFF6600"/>
      <rgbColor rgb="FF5A6770"/>
      <rgbColor rgb="FF969696"/>
      <rgbColor rgb="FF1F4E5A"/>
      <rgbColor rgb="FF339966"/>
      <rgbColor rgb="FF003300"/>
      <rgbColor rgb="FF333300"/>
      <rgbColor rgb="FF993300"/>
      <rgbColor rgb="FF993366"/>
      <rgbColor rgb="FF1A3D8F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etsy.com/listing/4603380202/cash-flow-forecast-template-13-week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etsy.com/listing/4603380202/cash-flow-forecast-template-13-week" TargetMode="External"/><Relationship Id="rId2" Type="http://schemas.openxmlformats.org/officeDocument/2006/relationships/hyperlink" Target="https://www.etsy.com/listing/4603380202/cash-flow-forecast-template-13-week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etsy.com/listing/4603380202/cash-flow-forecast-template-13-week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ww.etsy.com/listing/4603380202/cash-flow-forecast-template-13-week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www.etsy.com/listing/4603380202/cash-flow-forecast-template-13-week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www.etsy.com/listing/4603380202/cash-flow-forecast-template-13-week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5A"/>
    <pageSetUpPr fitToPage="false"/>
  </sheetPr>
  <dimension ref="A1:B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06"/>
  </cols>
  <sheetData>
    <row r="1" customFormat="false" ht="30" hidden="false" customHeight="true" outlineLevel="0" collapsed="false">
      <c r="A1" s="2"/>
      <c r="B1" s="3" t="s">
        <v>0</v>
      </c>
    </row>
    <row r="2" customFormat="false" ht="15" hidden="false" customHeight="true" outlineLevel="0" collapsed="false">
      <c r="A2" s="2"/>
      <c r="B2" s="4" t="s">
        <v>1</v>
      </c>
    </row>
    <row r="3" customFormat="false" ht="15" hidden="false" customHeight="false" outlineLevel="0" collapsed="false">
      <c r="A3" s="2"/>
      <c r="B3" s="2"/>
    </row>
    <row r="4" customFormat="false" ht="21.75" hidden="false" customHeight="true" outlineLevel="0" collapsed="false">
      <c r="A4" s="2"/>
      <c r="B4" s="5" t="s">
        <v>2</v>
      </c>
    </row>
    <row r="5" customFormat="false" ht="15" hidden="false" customHeight="true" outlineLevel="0" collapsed="false">
      <c r="A5" s="2"/>
      <c r="B5" s="5"/>
    </row>
    <row r="6" customFormat="false" ht="15" hidden="false" customHeight="true" outlineLevel="0" collapsed="false">
      <c r="A6" s="2"/>
      <c r="B6" s="6" t="s">
        <v>3</v>
      </c>
    </row>
    <row r="7" customFormat="false" ht="15" hidden="false" customHeight="true" outlineLevel="0" collapsed="false">
      <c r="A7" s="2"/>
      <c r="B7" s="5" t="s">
        <v>4</v>
      </c>
    </row>
    <row r="8" customFormat="false" ht="21.75" hidden="false" customHeight="true" outlineLevel="0" collapsed="false">
      <c r="A8" s="2"/>
      <c r="B8" s="5" t="s">
        <v>5</v>
      </c>
    </row>
    <row r="9" customFormat="false" ht="15" hidden="false" customHeight="true" outlineLevel="0" collapsed="false">
      <c r="A9" s="2"/>
      <c r="B9" s="5" t="s">
        <v>6</v>
      </c>
    </row>
    <row r="10" customFormat="false" ht="15" hidden="false" customHeight="true" outlineLevel="0" collapsed="false">
      <c r="A10" s="2"/>
      <c r="B10" s="5" t="s">
        <v>7</v>
      </c>
    </row>
    <row r="11" customFormat="false" ht="15" hidden="false" customHeight="true" outlineLevel="0" collapsed="false">
      <c r="A11" s="2"/>
      <c r="B11" s="5"/>
    </row>
    <row r="12" customFormat="false" ht="15" hidden="false" customHeight="true" outlineLevel="0" collapsed="false">
      <c r="A12" s="2"/>
      <c r="B12" s="6" t="s">
        <v>8</v>
      </c>
    </row>
    <row r="13" customFormat="false" ht="15" hidden="false" customHeight="true" outlineLevel="0" collapsed="false">
      <c r="A13" s="2"/>
      <c r="B13" s="5" t="s">
        <v>9</v>
      </c>
    </row>
    <row r="14" customFormat="false" ht="15" hidden="false" customHeight="true" outlineLevel="0" collapsed="false">
      <c r="A14" s="2"/>
      <c r="B14" s="5" t="s">
        <v>10</v>
      </c>
    </row>
    <row r="15" customFormat="false" ht="15" hidden="false" customHeight="true" outlineLevel="0" collapsed="false">
      <c r="A15" s="2"/>
      <c r="B15" s="5" t="s">
        <v>11</v>
      </c>
    </row>
    <row r="16" customFormat="false" ht="21.75" hidden="false" customHeight="true" outlineLevel="0" collapsed="false">
      <c r="A16" s="2"/>
      <c r="B16" s="5"/>
    </row>
    <row r="17" customFormat="false" ht="15" hidden="false" customHeight="true" outlineLevel="0" collapsed="false">
      <c r="A17" s="2"/>
      <c r="B17" s="7" t="s">
        <v>12</v>
      </c>
    </row>
    <row r="18" customFormat="false" ht="15" hidden="false" customHeight="true" outlineLevel="0" collapsed="false">
      <c r="A18" s="2"/>
      <c r="B18" s="5"/>
    </row>
    <row r="19" customFormat="false" ht="15" hidden="false" customHeight="true" outlineLevel="0" collapsed="false">
      <c r="A19" s="2"/>
      <c r="B19" s="6" t="s">
        <v>13</v>
      </c>
    </row>
    <row r="20" customFormat="false" ht="15" hidden="false" customHeight="true" outlineLevel="0" collapsed="false">
      <c r="A20" s="2"/>
      <c r="B20" s="8" t="s">
        <v>14</v>
      </c>
    </row>
    <row r="21" customFormat="false" ht="21.75" hidden="false" customHeight="true" outlineLevel="0" collapsed="false">
      <c r="A21" s="2"/>
      <c r="B21" s="5"/>
    </row>
    <row r="22" customFormat="false" ht="15" hidden="false" customHeight="true" outlineLevel="0" collapsed="false">
      <c r="A22" s="2"/>
      <c r="B22" s="5" t="s">
        <v>15</v>
      </c>
    </row>
    <row r="23" customFormat="false" ht="15" hidden="false" customHeight="true" outlineLevel="0" collapsed="false">
      <c r="A23" s="2"/>
      <c r="B23" s="5"/>
    </row>
    <row r="24" customFormat="false" ht="15" hidden="false" customHeight="true" outlineLevel="0" collapsed="false">
      <c r="A24" s="2"/>
      <c r="B24" s="5"/>
    </row>
    <row r="25" customFormat="false" ht="21.75" hidden="false" customHeight="true" outlineLevel="0" collapsed="false">
      <c r="A25" s="2"/>
      <c r="B25" s="6"/>
    </row>
    <row r="26" customFormat="false" ht="15" hidden="false" customHeight="true" outlineLevel="0" collapsed="false">
      <c r="A26" s="2"/>
      <c r="B26" s="5"/>
    </row>
    <row r="27" customFormat="false" ht="15" hidden="false" customHeight="true" outlineLevel="0" collapsed="false">
      <c r="A27" s="2"/>
      <c r="B27" s="5"/>
    </row>
    <row r="28" customFormat="false" ht="15" hidden="false" customHeight="true" outlineLevel="0" collapsed="false">
      <c r="A28" s="2"/>
      <c r="B28" s="5"/>
    </row>
    <row r="29" customFormat="false" ht="15" hidden="false" customHeight="true" outlineLevel="0" collapsed="false">
      <c r="A29" s="2"/>
      <c r="B29" s="5"/>
    </row>
    <row r="30" customFormat="false" ht="15" hidden="false" customHeight="true" outlineLevel="0" collapsed="false">
      <c r="A30" s="2"/>
      <c r="B30" s="5"/>
    </row>
  </sheetData>
  <hyperlinks>
    <hyperlink ref="B17" r:id="rId1" display="Get the full version on Etsy →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5A"/>
    <pageSetUpPr fitToPage="true"/>
  </sheetPr>
  <dimension ref="A1:P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8"/>
    <col collapsed="false" customWidth="true" hidden="false" outlineLevel="0" max="15" min="3" style="1" width="11.5"/>
    <col collapsed="false" customWidth="true" hidden="false" outlineLevel="0" max="16" min="16" style="1" width="13"/>
  </cols>
  <sheetData>
    <row r="1" customFormat="false" ht="30" hidden="false" customHeight="true" outlineLevel="0" collapsed="false">
      <c r="A1" s="9" t="s">
        <v>16</v>
      </c>
    </row>
    <row r="2" customFormat="false" ht="15" hidden="false" customHeight="true" outlineLevel="0" collapsed="false">
      <c r="A2" s="10" t="s">
        <v>17</v>
      </c>
      <c r="G2" s="11" t="s">
        <v>18</v>
      </c>
    </row>
    <row r="4" customFormat="false" ht="30" hidden="false" customHeight="true" outlineLevel="0" collapsed="false">
      <c r="B4" s="12" t="s">
        <v>19</v>
      </c>
      <c r="C4" s="12" t="s">
        <v>20</v>
      </c>
      <c r="D4" s="12" t="s">
        <v>21</v>
      </c>
      <c r="E4" s="12" t="s">
        <v>22</v>
      </c>
      <c r="F4" s="12" t="s">
        <v>23</v>
      </c>
      <c r="G4" s="13"/>
      <c r="H4" s="13"/>
      <c r="I4" s="13"/>
      <c r="J4" s="13"/>
      <c r="K4" s="13"/>
      <c r="L4" s="13"/>
      <c r="M4" s="13"/>
      <c r="N4" s="13"/>
      <c r="O4" s="13"/>
      <c r="P4" s="13"/>
    </row>
    <row r="5" customFormat="false" ht="15" hidden="false" customHeight="true" outlineLevel="0" collapsed="false">
      <c r="B5" s="14" t="s">
        <v>24</v>
      </c>
      <c r="C5" s="15" t="n">
        <f aca="false">Settings!$B$6</f>
        <v>46328</v>
      </c>
      <c r="D5" s="15" t="n">
        <f aca="false">C5+7</f>
        <v>46335</v>
      </c>
      <c r="E5" s="15" t="n">
        <f aca="false">D5+7</f>
        <v>46342</v>
      </c>
      <c r="F5" s="15" t="n">
        <f aca="false">E5+7</f>
        <v>46349</v>
      </c>
      <c r="G5" s="16"/>
      <c r="H5" s="16"/>
      <c r="I5" s="16"/>
      <c r="J5" s="16"/>
      <c r="K5" s="16"/>
      <c r="L5" s="16"/>
      <c r="M5" s="16"/>
      <c r="N5" s="16"/>
      <c r="O5" s="16"/>
      <c r="P5" s="17"/>
    </row>
    <row r="6" customFormat="false" ht="15" hidden="false" customHeight="true" outlineLevel="0" collapsed="false">
      <c r="B6" s="18" t="s">
        <v>25</v>
      </c>
      <c r="C6" s="19" t="n">
        <f aca="false">C5+6</f>
        <v>46334</v>
      </c>
      <c r="D6" s="19" t="n">
        <f aca="false">D5+6</f>
        <v>46341</v>
      </c>
      <c r="E6" s="19" t="n">
        <f aca="false">E5+6</f>
        <v>46348</v>
      </c>
      <c r="F6" s="19" t="n">
        <f aca="false">F5+6</f>
        <v>46355</v>
      </c>
      <c r="G6" s="20"/>
      <c r="H6" s="20"/>
      <c r="I6" s="20"/>
      <c r="J6" s="20"/>
      <c r="K6" s="20"/>
      <c r="L6" s="20"/>
      <c r="M6" s="20"/>
      <c r="N6" s="20"/>
      <c r="O6" s="20"/>
      <c r="P6" s="17"/>
    </row>
    <row r="7" customFormat="false" ht="15" hidden="false" customHeight="false" outlineLevel="0" collapsed="false">
      <c r="G7" s="17"/>
      <c r="H7" s="17"/>
      <c r="I7" s="17"/>
      <c r="J7" s="17"/>
      <c r="K7" s="17"/>
      <c r="L7" s="17"/>
      <c r="M7" s="17"/>
      <c r="N7" s="17"/>
      <c r="O7" s="17"/>
      <c r="P7" s="17"/>
    </row>
    <row r="8" customFormat="false" ht="15" hidden="false" customHeight="true" outlineLevel="0" collapsed="false">
      <c r="B8" s="14" t="s">
        <v>26</v>
      </c>
      <c r="C8" s="21" t="n">
        <f aca="false">Settings!$B$7</f>
        <v>42000</v>
      </c>
      <c r="D8" s="21" t="n">
        <f aca="false">C31</f>
        <v>36450</v>
      </c>
      <c r="E8" s="21" t="n">
        <f aca="false">D31</f>
        <v>30800</v>
      </c>
      <c r="F8" s="21" t="n">
        <f aca="false">E31</f>
        <v>23520</v>
      </c>
      <c r="G8" s="22"/>
      <c r="H8" s="23" t="s">
        <v>27</v>
      </c>
      <c r="I8" s="22"/>
      <c r="J8" s="22"/>
      <c r="K8" s="22"/>
      <c r="L8" s="22"/>
      <c r="M8" s="22"/>
      <c r="N8" s="22"/>
      <c r="O8" s="22"/>
      <c r="P8" s="17"/>
    </row>
    <row r="9" customFormat="false" ht="15" hidden="false" customHeight="true" outlineLevel="0" collapsed="false">
      <c r="B9" s="24" t="s">
        <v>28</v>
      </c>
      <c r="G9" s="17"/>
      <c r="H9" s="25" t="s">
        <v>29</v>
      </c>
      <c r="I9" s="17"/>
      <c r="J9" s="17"/>
      <c r="K9" s="17"/>
      <c r="L9" s="17"/>
      <c r="M9" s="17"/>
      <c r="N9" s="17"/>
      <c r="O9" s="17"/>
      <c r="P9" s="17"/>
    </row>
    <row r="10" customFormat="false" ht="15" hidden="false" customHeight="true" outlineLevel="0" collapsed="false">
      <c r="B10" s="26" t="s">
        <v>30</v>
      </c>
      <c r="C10" s="27" t="n">
        <f aca="false">SUMIFS(Receivables!$C$5:$C$64,Receivables!$G$5:$G$64,"Open",Receivables!$F$5:$F$64,"&gt;="&amp;C$5,Receivables!$F$5:$F$64,"&lt;="&amp;C$6)+SUMIFS(Receivables!$C$5:$C$64,Receivables!$G$5:$G$64,"Open",Receivables!$F$5:$F$64,"&lt;"&amp;C$5)</f>
        <v>14500</v>
      </c>
      <c r="D10" s="27" t="n">
        <f aca="false">SUMIFS(Receivables!$C$5:$C$64,Receivables!$G$5:$G$64,"Open",Receivables!$F$5:$F$64,"&gt;="&amp;D$5,Receivables!$F$5:$F$64,"&lt;="&amp;D$6)</f>
        <v>0</v>
      </c>
      <c r="E10" s="27" t="n">
        <f aca="false">SUMIFS(Receivables!$C$5:$C$64,Receivables!$G$5:$G$64,"Open",Receivables!$F$5:$F$64,"&gt;="&amp;E$5,Receivables!$F$5:$F$64,"&lt;="&amp;E$6)</f>
        <v>9800</v>
      </c>
      <c r="F10" s="27" t="n">
        <f aca="false">SUMIFS(Receivables!$C$5:$C$64,Receivables!$G$5:$G$64,"Open",Receivables!$F$5:$F$64,"&gt;="&amp;F$5,Receivables!$F$5:$F$64,"&lt;="&amp;F$6)</f>
        <v>0</v>
      </c>
      <c r="G10" s="28"/>
      <c r="H10" s="28"/>
      <c r="I10" s="28"/>
      <c r="J10" s="28"/>
      <c r="K10" s="28"/>
      <c r="L10" s="28"/>
      <c r="M10" s="28"/>
      <c r="N10" s="28"/>
      <c r="O10" s="28"/>
      <c r="P10" s="28"/>
    </row>
    <row r="11" customFormat="false" ht="15" hidden="false" customHeight="true" outlineLevel="0" collapsed="false">
      <c r="B11" s="26" t="s">
        <v>31</v>
      </c>
      <c r="C11" s="27" t="n">
        <f aca="false">SUMIFS(Recurring!I$5:I$64,Recurring!$C$5:$C$64,"Inflow")*Settings!$E$22</f>
        <v>2800</v>
      </c>
      <c r="D11" s="27" t="n">
        <f aca="false">SUMIFS(Recurring!J$5:J$64,Recurring!$C$5:$C$64,"Inflow")*Settings!$E$22</f>
        <v>11300</v>
      </c>
      <c r="E11" s="27" t="n">
        <f aca="false">SUMIFS(Recurring!K$5:K$64,Recurring!$C$5:$C$64,"Inflow")*Settings!$E$22</f>
        <v>2800</v>
      </c>
      <c r="F11" s="27" t="n">
        <f aca="false">SUMIFS(Recurring!L$5:L$64,Recurring!$C$5:$C$64,"Inflow")*Settings!$E$22</f>
        <v>2800</v>
      </c>
      <c r="G11" s="28"/>
      <c r="H11" s="28"/>
      <c r="I11" s="28"/>
      <c r="J11" s="28"/>
      <c r="K11" s="28"/>
      <c r="L11" s="28"/>
      <c r="M11" s="28"/>
      <c r="N11" s="28"/>
      <c r="O11" s="28"/>
      <c r="P11" s="28"/>
    </row>
    <row r="12" customFormat="false" ht="15" hidden="false" customHeight="true" outlineLevel="0" collapsed="false">
      <c r="B12" s="26" t="s">
        <v>32</v>
      </c>
      <c r="C12" s="27" t="n">
        <f aca="false">SUMIFS('One-off Items'!$D$5:$D$64,'One-off Items'!$C$5:$C$64,"Inflow",'One-off Items'!$A$5:$A$64,"&gt;="&amp;C$5,'One-off Items'!$A$5:$A$64,"&lt;="&amp;C$6)</f>
        <v>0</v>
      </c>
      <c r="D12" s="27" t="n">
        <f aca="false">SUMIFS('One-off Items'!$D$5:$D$64,'One-off Items'!$C$5:$C$64,"Inflow",'One-off Items'!$A$5:$A$64,"&gt;="&amp;D$5,'One-off Items'!$A$5:$A$64,"&lt;="&amp;D$6)</f>
        <v>0</v>
      </c>
      <c r="E12" s="27" t="n">
        <f aca="false">SUMIFS('One-off Items'!$D$5:$D$64,'One-off Items'!$C$5:$C$64,"Inflow",'One-off Items'!$A$5:$A$64,"&gt;="&amp;E$5,'One-off Items'!$A$5:$A$64,"&lt;="&amp;E$6)</f>
        <v>0</v>
      </c>
      <c r="F12" s="27" t="n">
        <f aca="false">SUMIFS('One-off Items'!$D$5:$D$64,'One-off Items'!$C$5:$C$64,"Inflow",'One-off Items'!$A$5:$A$64,"&gt;="&amp;F$5,'One-off Items'!$A$5:$A$64,"&lt;="&amp;F$6)</f>
        <v>0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customFormat="false" ht="15" hidden="false" customHeight="true" outlineLevel="0" collapsed="false">
      <c r="B13" s="14" t="s">
        <v>33</v>
      </c>
      <c r="C13" s="21" t="n">
        <f aca="false">SUM(C10:C12)</f>
        <v>17300</v>
      </c>
      <c r="D13" s="21" t="n">
        <f aca="false">SUM(D10:D12)</f>
        <v>11300</v>
      </c>
      <c r="E13" s="21" t="n">
        <f aca="false">SUM(E10:E12)</f>
        <v>12600</v>
      </c>
      <c r="F13" s="21" t="n">
        <f aca="false">SUM(F10:F12)</f>
        <v>2800</v>
      </c>
      <c r="G13" s="22"/>
      <c r="H13" s="22"/>
      <c r="I13" s="22"/>
      <c r="J13" s="22"/>
      <c r="K13" s="22"/>
      <c r="L13" s="22"/>
      <c r="M13" s="22"/>
      <c r="N13" s="22"/>
      <c r="O13" s="22"/>
      <c r="P13" s="22"/>
    </row>
    <row r="14" customFormat="false" ht="15" hidden="false" customHeight="true" outlineLevel="0" collapsed="false">
      <c r="B14" s="24" t="s">
        <v>34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</row>
    <row r="15" customFormat="false" ht="15" hidden="false" customHeight="true" outlineLevel="0" collapsed="false">
      <c r="B15" s="26" t="s">
        <v>35</v>
      </c>
      <c r="C15" s="27" t="n">
        <f aca="false">SUMIFS(Recurring!I$5:I$64,Recurring!$C$5:$C$64,"Outflow",Recurring!$B$5:$B$64,$B15)*Settings!$E$24</f>
        <v>18500</v>
      </c>
      <c r="D15" s="27" t="n">
        <f aca="false">SUMIFS(Recurring!J$5:J$64,Recurring!$C$5:$C$64,"Outflow",Recurring!$B$5:$B$64,$B15)*Settings!$E$24</f>
        <v>6000</v>
      </c>
      <c r="E15" s="27" t="n">
        <f aca="false">SUMIFS(Recurring!K$5:K$64,Recurring!$C$5:$C$64,"Outflow",Recurring!$B$5:$B$64,$B15)*Settings!$E$24</f>
        <v>18500</v>
      </c>
      <c r="F15" s="27" t="n">
        <f aca="false">SUMIFS(Recurring!L$5:L$64,Recurring!$C$5:$C$64,"Outflow",Recurring!$B$5:$B$64,$B15)*Settings!$E$24</f>
        <v>0</v>
      </c>
      <c r="G15" s="28"/>
      <c r="H15" s="28"/>
      <c r="I15" s="28"/>
      <c r="J15" s="28"/>
      <c r="K15" s="28"/>
      <c r="L15" s="28"/>
      <c r="M15" s="28"/>
      <c r="N15" s="28"/>
      <c r="O15" s="28"/>
      <c r="P15" s="28"/>
    </row>
    <row r="16" customFormat="false" ht="15" hidden="false" customHeight="true" outlineLevel="0" collapsed="false">
      <c r="B16" s="26" t="s">
        <v>36</v>
      </c>
      <c r="C16" s="27" t="n">
        <f aca="false">SUMIFS(Recurring!I$5:I$64,Recurring!$C$5:$C$64,"Outflow",Recurring!$B$5:$B$64,$B16)*Settings!$E$24</f>
        <v>0</v>
      </c>
      <c r="D16" s="27" t="n">
        <f aca="false">SUMIFS(Recurring!J$5:J$64,Recurring!$C$5:$C$64,"Outflow",Recurring!$B$5:$B$64,$B16)*Settings!$E$24</f>
        <v>650</v>
      </c>
      <c r="E16" s="27" t="n">
        <f aca="false">SUMIFS(Recurring!K$5:K$64,Recurring!$C$5:$C$64,"Outflow",Recurring!$B$5:$B$64,$B16)*Settings!$E$24</f>
        <v>0</v>
      </c>
      <c r="F16" s="27" t="n">
        <f aca="false">SUMIFS(Recurring!L$5:L$64,Recurring!$C$5:$C$64,"Outflow",Recurring!$B$5:$B$64,$B16)*Settings!$E$24</f>
        <v>0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</row>
    <row r="17" customFormat="false" ht="15" hidden="false" customHeight="true" outlineLevel="0" collapsed="false">
      <c r="B17" s="26" t="s">
        <v>37</v>
      </c>
      <c r="C17" s="27" t="n">
        <f aca="false">SUMIFS(Recurring!I$5:I$64,Recurring!$C$5:$C$64,"Outflow",Recurring!$B$5:$B$64,$B17)*Settings!$E$24</f>
        <v>1150</v>
      </c>
      <c r="D17" s="27" t="n">
        <f aca="false">SUMIFS(Recurring!J$5:J$64,Recurring!$C$5:$C$64,"Outflow",Recurring!$B$5:$B$64,$B17)*Settings!$E$24</f>
        <v>0</v>
      </c>
      <c r="E17" s="27" t="n">
        <f aca="false">SUMIFS(Recurring!K$5:K$64,Recurring!$C$5:$C$64,"Outflow",Recurring!$B$5:$B$64,$B17)*Settings!$E$24</f>
        <v>0</v>
      </c>
      <c r="F17" s="27" t="n">
        <f aca="false">SUMIFS(Recurring!L$5:L$64,Recurring!$C$5:$C$64,"Outflow",Recurring!$B$5:$B$64,$B17)*Settings!$E$24</f>
        <v>0</v>
      </c>
      <c r="G17" s="28"/>
      <c r="H17" s="28"/>
      <c r="I17" s="28"/>
      <c r="J17" s="28"/>
      <c r="K17" s="28"/>
      <c r="L17" s="28"/>
      <c r="M17" s="28"/>
      <c r="N17" s="28"/>
      <c r="O17" s="28"/>
      <c r="P17" s="28"/>
    </row>
    <row r="18" customFormat="false" ht="15" hidden="false" customHeight="true" outlineLevel="0" collapsed="false">
      <c r="B18" s="26" t="s">
        <v>38</v>
      </c>
      <c r="C18" s="27" t="n">
        <f aca="false">SUMIFS(Recurring!I$5:I$64,Recurring!$C$5:$C$64,"Outflow",Recurring!$B$5:$B$64,$B18)*Settings!$E$24</f>
        <v>0</v>
      </c>
      <c r="D18" s="27" t="n">
        <f aca="false">SUMIFS(Recurring!J$5:J$64,Recurring!$C$5:$C$64,"Outflow",Recurring!$B$5:$B$64,$B18)*Settings!$E$24</f>
        <v>2500</v>
      </c>
      <c r="E18" s="27" t="n">
        <f aca="false">SUMIFS(Recurring!K$5:K$64,Recurring!$C$5:$C$64,"Outflow",Recurring!$B$5:$B$64,$B18)*Settings!$E$24</f>
        <v>0</v>
      </c>
      <c r="F18" s="27" t="n">
        <f aca="false">SUMIFS(Recurring!L$5:L$64,Recurring!$C$5:$C$64,"Outflow",Recurring!$B$5:$B$64,$B18)*Settings!$E$24</f>
        <v>0</v>
      </c>
      <c r="G18" s="28"/>
      <c r="H18" s="28"/>
      <c r="I18" s="28"/>
      <c r="J18" s="28"/>
      <c r="K18" s="28"/>
      <c r="L18" s="28"/>
      <c r="M18" s="28"/>
      <c r="N18" s="28"/>
      <c r="O18" s="28"/>
      <c r="P18" s="28"/>
    </row>
    <row r="19" customFormat="false" ht="15" hidden="false" customHeight="true" outlineLevel="0" collapsed="false">
      <c r="B19" s="26" t="s">
        <v>39</v>
      </c>
      <c r="C19" s="27" t="n">
        <f aca="false">SUMIFS(Recurring!I$5:I$64,Recurring!$C$5:$C$64,"Outflow",Recurring!$B$5:$B$64,$B19)*Settings!$E$24</f>
        <v>0</v>
      </c>
      <c r="D19" s="27" t="n">
        <f aca="false">SUMIFS(Recurring!J$5:J$64,Recurring!$C$5:$C$64,"Outflow",Recurring!$B$5:$B$64,$B19)*Settings!$E$24</f>
        <v>0</v>
      </c>
      <c r="E19" s="27" t="n">
        <f aca="false">SUMIFS(Recurring!K$5:K$64,Recurring!$C$5:$C$64,"Outflow",Recurring!$B$5:$B$64,$B19)*Settings!$E$24</f>
        <v>1380</v>
      </c>
      <c r="F19" s="27" t="n">
        <f aca="false">SUMIFS(Recurring!L$5:L$64,Recurring!$C$5:$C$64,"Outflow",Recurring!$B$5:$B$64,$B19)*Settings!$E$24</f>
        <v>0</v>
      </c>
      <c r="G19" s="28"/>
      <c r="H19" s="28"/>
      <c r="I19" s="28"/>
      <c r="J19" s="28"/>
      <c r="K19" s="28"/>
      <c r="L19" s="28"/>
      <c r="M19" s="28"/>
      <c r="N19" s="28"/>
      <c r="O19" s="28"/>
      <c r="P19" s="28"/>
    </row>
    <row r="20" customFormat="false" ht="15" hidden="false" customHeight="true" outlineLevel="0" collapsed="false">
      <c r="B20" s="26" t="s">
        <v>40</v>
      </c>
      <c r="C20" s="27" t="n">
        <f aca="false">SUMIFS(Recurring!I$5:I$64,Recurring!$C$5:$C$64,"Outflow",Recurring!$B$5:$B$64,$B20)*Settings!$E$24</f>
        <v>0</v>
      </c>
      <c r="D20" s="27" t="n">
        <f aca="false">SUMIFS(Recurring!J$5:J$64,Recurring!$C$5:$C$64,"Outflow",Recurring!$B$5:$B$64,$B20)*Settings!$E$24</f>
        <v>0</v>
      </c>
      <c r="E20" s="27" t="n">
        <f aca="false">SUMIFS(Recurring!K$5:K$64,Recurring!$C$5:$C$64,"Outflow",Recurring!$B$5:$B$64,$B20)*Settings!$E$24</f>
        <v>0</v>
      </c>
      <c r="F20" s="27" t="n">
        <f aca="false">SUMIFS(Recurring!L$5:L$64,Recurring!$C$5:$C$64,"Outflow",Recurring!$B$5:$B$64,$B20)*Settings!$E$24</f>
        <v>0</v>
      </c>
      <c r="G20" s="28"/>
      <c r="H20" s="28"/>
      <c r="I20" s="28"/>
      <c r="J20" s="28"/>
      <c r="K20" s="28"/>
      <c r="L20" s="28"/>
      <c r="M20" s="28"/>
      <c r="N20" s="28"/>
      <c r="O20" s="28"/>
      <c r="P20" s="28"/>
    </row>
    <row r="21" customFormat="false" ht="15" hidden="false" customHeight="true" outlineLevel="0" collapsed="false">
      <c r="B21" s="26" t="s">
        <v>41</v>
      </c>
      <c r="C21" s="27" t="n">
        <f aca="false">SUMIFS(Recurring!I$5:I$64,Recurring!$C$5:$C$64,"Outflow",Recurring!$B$5:$B$64,$B21)*Settings!$E$24</f>
        <v>0</v>
      </c>
      <c r="D21" s="27" t="n">
        <f aca="false">SUMIFS(Recurring!J$5:J$64,Recurring!$C$5:$C$64,"Outflow",Recurring!$B$5:$B$64,$B21)*Settings!$E$24</f>
        <v>0</v>
      </c>
      <c r="E21" s="27" t="n">
        <f aca="false">SUMIFS(Recurring!K$5:K$64,Recurring!$C$5:$C$64,"Outflow",Recurring!$B$5:$B$64,$B21)*Settings!$E$24</f>
        <v>0</v>
      </c>
      <c r="F21" s="27" t="n">
        <f aca="false">SUMIFS(Recurring!L$5:L$64,Recurring!$C$5:$C$64,"Outflow",Recurring!$B$5:$B$64,$B21)*Settings!$E$24</f>
        <v>0</v>
      </c>
      <c r="G21" s="28"/>
      <c r="H21" s="28"/>
      <c r="I21" s="28"/>
      <c r="J21" s="28"/>
      <c r="K21" s="28"/>
      <c r="L21" s="28"/>
      <c r="M21" s="28"/>
      <c r="N21" s="28"/>
      <c r="O21" s="28"/>
      <c r="P21" s="28"/>
    </row>
    <row r="22" customFormat="false" ht="15" hidden="false" customHeight="true" outlineLevel="0" collapsed="false">
      <c r="B22" s="26" t="s">
        <v>42</v>
      </c>
      <c r="C22" s="27" t="n">
        <f aca="false">SUMIFS(Recurring!I$5:I$64,Recurring!$C$5:$C$64,"Outflow")*Settings!$E$24-SUM(C15:C21)</f>
        <v>0</v>
      </c>
      <c r="D22" s="27" t="n">
        <f aca="false">SUMIFS(Recurring!J$5:J$64,Recurring!$C$5:$C$64,"Outflow")*Settings!$E$24-SUM(D15:D21)</f>
        <v>0</v>
      </c>
      <c r="E22" s="27" t="n">
        <f aca="false">SUMIFS(Recurring!K$5:K$64,Recurring!$C$5:$C$64,"Outflow")*Settings!$E$24-SUM(E15:E21)</f>
        <v>0</v>
      </c>
      <c r="F22" s="27" t="n">
        <f aca="false">SUMIFS(Recurring!L$5:L$64,Recurring!$C$5:$C$64,"Outflow")*Settings!$E$24-SUM(F15:F21)</f>
        <v>0</v>
      </c>
      <c r="G22" s="28"/>
      <c r="H22" s="28"/>
      <c r="I22" s="28"/>
      <c r="J22" s="28"/>
      <c r="K22" s="28"/>
      <c r="L22" s="28"/>
      <c r="M22" s="28"/>
      <c r="N22" s="28"/>
      <c r="O22" s="28"/>
      <c r="P22" s="28"/>
    </row>
    <row r="23" customFormat="false" ht="15" hidden="false" customHeight="true" outlineLevel="0" collapsed="false">
      <c r="B23" s="26" t="s">
        <v>43</v>
      </c>
      <c r="C23" s="27" t="n">
        <f aca="false">SUMIFS(Payables!$C$5:$C$64,Payables!$E$5:$E$64,"Unpaid",Payables!$D$5:$D$64,"&gt;="&amp;C$5,Payables!$D$5:$D$64,"&lt;="&amp;C$6)+SUMIFS(Payables!$C$5:$C$64,Payables!$E$5:$E$64,"Unpaid",Payables!$D$5:$D$64,"&lt;"&amp;C$5)</f>
        <v>3200</v>
      </c>
      <c r="D23" s="27" t="n">
        <f aca="false">SUMIFS(Payables!$C$5:$C$64,Payables!$E$5:$E$64,"Unpaid",Payables!$D$5:$D$64,"&gt;="&amp;D$5,Payables!$D$5:$D$64,"&lt;="&amp;D$6)</f>
        <v>7800</v>
      </c>
      <c r="E23" s="27" t="n">
        <f aca="false">SUMIFS(Payables!$C$5:$C$64,Payables!$E$5:$E$64,"Unpaid",Payables!$D$5:$D$64,"&gt;="&amp;E$5,Payables!$D$5:$D$64,"&lt;="&amp;E$6)</f>
        <v>0</v>
      </c>
      <c r="F23" s="27" t="n">
        <f aca="false">SUMIFS(Payables!$C$5:$C$64,Payables!$E$5:$E$64,"Unpaid",Payables!$D$5:$D$64,"&gt;="&amp;F$5,Payables!$D$5:$D$64,"&lt;="&amp;F$6)</f>
        <v>2450</v>
      </c>
      <c r="G23" s="28"/>
      <c r="H23" s="28"/>
      <c r="I23" s="28"/>
      <c r="J23" s="28"/>
      <c r="K23" s="28"/>
      <c r="L23" s="28"/>
      <c r="M23" s="28"/>
      <c r="N23" s="28"/>
      <c r="O23" s="28"/>
      <c r="P23" s="28"/>
    </row>
    <row r="24" customFormat="false" ht="15" hidden="false" customHeight="true" outlineLevel="0" collapsed="false">
      <c r="B24" s="26" t="s">
        <v>44</v>
      </c>
      <c r="C24" s="27" t="n">
        <f aca="false">SUMIFS('One-off Items'!$D$5:$D$64,'One-off Items'!$C$5:$C$64,"Outflow",'One-off Items'!$A$5:$A$64,"&gt;="&amp;C$5,'One-off Items'!$A$5:$A$64,"&lt;="&amp;C$6)</f>
        <v>0</v>
      </c>
      <c r="D24" s="27" t="n">
        <f aca="false">SUMIFS('One-off Items'!$D$5:$D$64,'One-off Items'!$C$5:$C$64,"Outflow",'One-off Items'!$A$5:$A$64,"&gt;="&amp;D$5,'One-off Items'!$A$5:$A$64,"&lt;="&amp;D$6)</f>
        <v>0</v>
      </c>
      <c r="E24" s="27" t="n">
        <f aca="false">SUMIFS('One-off Items'!$D$5:$D$64,'One-off Items'!$C$5:$C$64,"Outflow",'One-off Items'!$A$5:$A$64,"&gt;="&amp;E$5,'One-off Items'!$A$5:$A$64,"&lt;="&amp;E$6)</f>
        <v>0</v>
      </c>
      <c r="F24" s="27" t="n">
        <f aca="false">SUMIFS('One-off Items'!$D$5:$D$64,'One-off Items'!$C$5:$C$64,"Outflow",'One-off Items'!$A$5:$A$64,"&gt;="&amp;F$5,'One-off Items'!$A$5:$A$64,"&lt;="&amp;F$6)</f>
        <v>0</v>
      </c>
      <c r="G24" s="28"/>
      <c r="H24" s="28"/>
      <c r="I24" s="28"/>
      <c r="J24" s="28"/>
      <c r="K24" s="28"/>
      <c r="L24" s="28"/>
      <c r="M24" s="28"/>
      <c r="N24" s="28"/>
      <c r="O24" s="28"/>
      <c r="P24" s="28"/>
    </row>
    <row r="25" customFormat="false" ht="15" hidden="false" customHeight="true" outlineLevel="0" collapsed="false">
      <c r="B25" s="14" t="s">
        <v>45</v>
      </c>
      <c r="C25" s="21" t="n">
        <f aca="false">SUM(C15:C24)</f>
        <v>22850</v>
      </c>
      <c r="D25" s="21" t="n">
        <f aca="false">SUM(D15:D24)</f>
        <v>16950</v>
      </c>
      <c r="E25" s="21" t="n">
        <f aca="false">SUM(E15:E24)</f>
        <v>19880</v>
      </c>
      <c r="F25" s="21" t="n">
        <f aca="false">SUM(F15:F24)</f>
        <v>2450</v>
      </c>
      <c r="G25" s="22"/>
      <c r="H25" s="22"/>
      <c r="I25" s="22"/>
      <c r="J25" s="22"/>
      <c r="K25" s="22"/>
      <c r="L25" s="22"/>
      <c r="M25" s="22"/>
      <c r="N25" s="22"/>
      <c r="O25" s="22"/>
      <c r="P25" s="22"/>
    </row>
    <row r="26" customFormat="false" ht="15" hidden="false" customHeight="false" outlineLevel="0" collapsed="false">
      <c r="G26" s="17"/>
      <c r="H26" s="17"/>
      <c r="I26" s="17"/>
      <c r="J26" s="17"/>
      <c r="K26" s="17"/>
      <c r="L26" s="17"/>
      <c r="M26" s="17"/>
      <c r="N26" s="17"/>
      <c r="O26" s="17"/>
      <c r="P26" s="17"/>
    </row>
    <row r="27" customFormat="false" ht="15" hidden="false" customHeight="true" outlineLevel="0" collapsed="false">
      <c r="B27" s="14" t="s">
        <v>46</v>
      </c>
      <c r="C27" s="21" t="n">
        <f aca="false">C13-C25</f>
        <v>-5550</v>
      </c>
      <c r="D27" s="21" t="n">
        <f aca="false">D13-D25</f>
        <v>-5650</v>
      </c>
      <c r="E27" s="21" t="n">
        <f aca="false">E13-E25</f>
        <v>-7280</v>
      </c>
      <c r="F27" s="21" t="n">
        <f aca="false">F13-F25</f>
        <v>350</v>
      </c>
      <c r="G27" s="22"/>
      <c r="H27" s="22"/>
      <c r="I27" s="22"/>
      <c r="J27" s="22"/>
      <c r="K27" s="22"/>
      <c r="L27" s="22"/>
      <c r="M27" s="22"/>
      <c r="N27" s="22"/>
      <c r="O27" s="22"/>
      <c r="P27" s="22"/>
    </row>
    <row r="28" customFormat="false" ht="15" hidden="false" customHeight="true" outlineLevel="0" collapsed="false">
      <c r="B28" s="26" t="s">
        <v>47</v>
      </c>
      <c r="C28" s="27" t="n">
        <f aca="false">Settings!$B$12*Settings!$B$13/52</f>
        <v>0</v>
      </c>
      <c r="D28" s="27" t="n">
        <f aca="false">C32*Settings!$B$13/52</f>
        <v>0</v>
      </c>
      <c r="E28" s="27" t="n">
        <f aca="false">D32*Settings!$B$13/52</f>
        <v>0</v>
      </c>
      <c r="F28" s="27" t="n">
        <f aca="false">E32*Settings!$B$13/52</f>
        <v>0</v>
      </c>
      <c r="G28" s="28"/>
      <c r="H28" s="28"/>
      <c r="I28" s="28"/>
      <c r="J28" s="28"/>
      <c r="K28" s="28"/>
      <c r="L28" s="28"/>
      <c r="M28" s="28"/>
      <c r="N28" s="28"/>
      <c r="O28" s="28"/>
      <c r="P28" s="28"/>
    </row>
    <row r="29" customFormat="false" ht="15" hidden="false" customHeight="true" outlineLevel="0" collapsed="false">
      <c r="B29" s="26" t="s">
        <v>48</v>
      </c>
      <c r="C29" s="27" t="n">
        <f aca="false">IF(Settings!$B$11&lt;=0,0,IF((C8+C27-C28)&lt;Settings!$B$8,MIN(Settings!$B$8-(C8+C27-C28),MAX(0,Settings!$B$11-Settings!$B$12)),0))</f>
        <v>0</v>
      </c>
      <c r="D29" s="27" t="n">
        <f aca="false">IF(Settings!$B$11&lt;=0,0,IF((D8+D27-D28)&lt;Settings!$B$8,MIN(Settings!$B$8-(D8+D27-D28),MAX(0,Settings!$B$11-C32)),0))</f>
        <v>0</v>
      </c>
      <c r="E29" s="27" t="n">
        <f aca="false">IF(Settings!$B$11&lt;=0,0,IF((E8+E27-E28)&lt;Settings!$B$8,MIN(Settings!$B$8-(E8+E27-E28),MAX(0,Settings!$B$11-D32)),0))</f>
        <v>0</v>
      </c>
      <c r="F29" s="27" t="n">
        <f aca="false">IF(Settings!$B$11&lt;=0,0,IF((F8+F27-F28)&lt;Settings!$B$8,MIN(Settings!$B$8-(F8+F27-F28),MAX(0,Settings!$B$11-E32)),0))</f>
        <v>0</v>
      </c>
      <c r="G29" s="28"/>
      <c r="H29" s="28"/>
      <c r="I29" s="28"/>
      <c r="J29" s="28"/>
      <c r="K29" s="28"/>
      <c r="L29" s="28"/>
      <c r="M29" s="28"/>
      <c r="N29" s="28"/>
      <c r="O29" s="28"/>
      <c r="P29" s="28"/>
    </row>
    <row r="30" customFormat="false" ht="15" hidden="false" customHeight="true" outlineLevel="0" collapsed="false">
      <c r="B30" s="26" t="s">
        <v>49</v>
      </c>
      <c r="C30" s="27" t="n">
        <f aca="false">IF(AND(Settings!$B$12&gt;0,(C8+C27-C28)&gt;Settings!$B$8),MIN(Settings!$B$12,(C8+C27-C28)-Settings!$B$8),0)</f>
        <v>0</v>
      </c>
      <c r="D30" s="27" t="n">
        <f aca="false">IF(AND(C32&gt;0,(D8+D27-D28)&gt;Settings!$B$8),MIN(C32,(D8+D27-D28)-Settings!$B$8),0)</f>
        <v>0</v>
      </c>
      <c r="E30" s="27" t="n">
        <f aca="false">IF(AND(D32&gt;0,(E8+E27-E28)&gt;Settings!$B$8),MIN(D32,(E8+E27-E28)-Settings!$B$8),0)</f>
        <v>0</v>
      </c>
      <c r="F30" s="27" t="n">
        <f aca="false">IF(AND(E32&gt;0,(F8+F27-F28)&gt;Settings!$B$8),MIN(E32,(F8+F27-F28)-Settings!$B$8),0)</f>
        <v>0</v>
      </c>
      <c r="G30" s="28"/>
      <c r="H30" s="28"/>
      <c r="I30" s="28"/>
      <c r="J30" s="28"/>
      <c r="K30" s="28"/>
      <c r="L30" s="28"/>
      <c r="M30" s="28"/>
      <c r="N30" s="28"/>
      <c r="O30" s="28"/>
      <c r="P30" s="28"/>
    </row>
    <row r="31" customFormat="false" ht="15" hidden="false" customHeight="true" outlineLevel="0" collapsed="false">
      <c r="B31" s="14" t="s">
        <v>50</v>
      </c>
      <c r="C31" s="29" t="n">
        <f aca="false">(C8+C27-C28)+C29-C30</f>
        <v>36450</v>
      </c>
      <c r="D31" s="29" t="n">
        <f aca="false">(D8+D27-D28)+D29-D30</f>
        <v>30800</v>
      </c>
      <c r="E31" s="29" t="n">
        <f aca="false">(E8+E27-E28)+E29-E30</f>
        <v>23520</v>
      </c>
      <c r="F31" s="29" t="n">
        <f aca="false">(F8+F27-F28)+F29-F30</f>
        <v>23870</v>
      </c>
      <c r="G31" s="22"/>
      <c r="H31" s="22"/>
      <c r="I31" s="22"/>
      <c r="J31" s="22"/>
      <c r="K31" s="22"/>
      <c r="L31" s="22"/>
      <c r="M31" s="22"/>
      <c r="N31" s="22"/>
      <c r="O31" s="22"/>
      <c r="P31" s="17"/>
    </row>
    <row r="32" customFormat="false" ht="15" hidden="false" customHeight="true" outlineLevel="0" collapsed="false">
      <c r="B32" s="26" t="s">
        <v>51</v>
      </c>
      <c r="C32" s="27" t="n">
        <f aca="false">Settings!$B$12+C29-C30</f>
        <v>0</v>
      </c>
      <c r="D32" s="27" t="n">
        <f aca="false">C32+D29-D30</f>
        <v>0</v>
      </c>
      <c r="E32" s="27" t="n">
        <f aca="false">D32+E29-E30</f>
        <v>0</v>
      </c>
      <c r="F32" s="27" t="n">
        <f aca="false">E32+F29-F30</f>
        <v>0</v>
      </c>
      <c r="G32" s="28"/>
      <c r="H32" s="28"/>
      <c r="I32" s="28"/>
      <c r="J32" s="28"/>
      <c r="K32" s="28"/>
      <c r="L32" s="28"/>
      <c r="M32" s="28"/>
      <c r="N32" s="28"/>
      <c r="O32" s="28"/>
      <c r="P32" s="17"/>
    </row>
    <row r="33" customFormat="false" ht="15" hidden="false" customHeight="true" outlineLevel="0" collapsed="false">
      <c r="B33" s="26" t="s">
        <v>52</v>
      </c>
      <c r="C33" s="27" t="n">
        <f aca="false">Settings!$B$8</f>
        <v>15000</v>
      </c>
      <c r="D33" s="27" t="n">
        <f aca="false">Settings!$B$8</f>
        <v>15000</v>
      </c>
      <c r="E33" s="27" t="n">
        <f aca="false">Settings!$B$8</f>
        <v>15000</v>
      </c>
      <c r="F33" s="27" t="n">
        <f aca="false">Settings!$B$8</f>
        <v>15000</v>
      </c>
      <c r="G33" s="28"/>
      <c r="H33" s="28"/>
      <c r="I33" s="28"/>
      <c r="J33" s="28"/>
      <c r="K33" s="28"/>
      <c r="L33" s="28"/>
      <c r="M33" s="28"/>
      <c r="N33" s="28"/>
      <c r="O33" s="28"/>
      <c r="P33" s="17"/>
    </row>
    <row r="34" customFormat="false" ht="15" hidden="false" customHeight="true" outlineLevel="0" collapsed="false">
      <c r="B34" s="14" t="s">
        <v>53</v>
      </c>
      <c r="C34" s="30" t="str">
        <f aca="false">IF(C31&lt;0,"✗ Negative",IF(C31&lt;C33,"! Below buffer","✓ OK"))</f>
        <v>✓ OK</v>
      </c>
      <c r="D34" s="30" t="str">
        <f aca="false">IF(D31&lt;0,"✗ Negative",IF(D31&lt;D33,"! Below buffer","✓ OK"))</f>
        <v>✓ OK</v>
      </c>
      <c r="E34" s="30" t="str">
        <f aca="false">IF(E31&lt;0,"✗ Negative",IF(E31&lt;E33,"! Below buffer","✓ OK"))</f>
        <v>✓ OK</v>
      </c>
      <c r="F34" s="30" t="str">
        <f aca="false">IF(F31&lt;0,"✗ Negative",IF(F31&lt;F33,"! Below buffer","✓ OK"))</f>
        <v>✓ OK</v>
      </c>
      <c r="G34" s="31"/>
      <c r="H34" s="31"/>
      <c r="I34" s="31"/>
      <c r="J34" s="31"/>
      <c r="K34" s="31"/>
      <c r="L34" s="31"/>
      <c r="M34" s="31"/>
      <c r="N34" s="31"/>
      <c r="O34" s="31"/>
      <c r="P34" s="17"/>
    </row>
    <row r="35" customFormat="false" ht="15" hidden="false" customHeight="false" outlineLevel="0" collapsed="false">
      <c r="G35" s="17"/>
      <c r="H35" s="17"/>
      <c r="I35" s="17"/>
      <c r="J35" s="17"/>
      <c r="K35" s="17"/>
      <c r="L35" s="17"/>
      <c r="M35" s="17"/>
      <c r="N35" s="17"/>
      <c r="O35" s="17"/>
      <c r="P35" s="17"/>
    </row>
    <row r="36" customFormat="false" ht="15" hidden="false" customHeight="true" outlineLevel="0" collapsed="false">
      <c r="B36" s="26" t="s">
        <v>54</v>
      </c>
      <c r="C36" s="27" t="n">
        <f aca="false">Settings!$B$7+SUM($C$27:C27)</f>
        <v>36450</v>
      </c>
      <c r="D36" s="27" t="n">
        <f aca="false">Settings!$B$7+SUM($C$27:D27)</f>
        <v>30800</v>
      </c>
      <c r="E36" s="27" t="n">
        <f aca="false">Settings!$B$7+SUM($C$27:E27)</f>
        <v>23520</v>
      </c>
      <c r="F36" s="27" t="n">
        <f aca="false">Settings!$B$7+SUM($C$27:F27)</f>
        <v>23870</v>
      </c>
      <c r="G36" s="28"/>
      <c r="H36" s="28"/>
      <c r="I36" s="28"/>
      <c r="J36" s="28"/>
      <c r="K36" s="28"/>
      <c r="L36" s="28"/>
      <c r="M36" s="28"/>
      <c r="N36" s="28"/>
      <c r="O36" s="28"/>
      <c r="P36" s="17"/>
    </row>
    <row r="37" customFormat="false" ht="15" hidden="false" customHeight="false" outlineLevel="0" collapsed="false">
      <c r="G37" s="17"/>
      <c r="H37" s="17"/>
      <c r="I37" s="17"/>
      <c r="J37" s="17"/>
      <c r="K37" s="17"/>
      <c r="L37" s="17"/>
      <c r="M37" s="17"/>
      <c r="N37" s="17"/>
      <c r="O37" s="17"/>
      <c r="P37" s="17"/>
    </row>
    <row r="38" customFormat="false" ht="15" hidden="false" customHeight="true" outlineLevel="0" collapsed="false">
      <c r="B38" s="14" t="s">
        <v>55</v>
      </c>
      <c r="C38" s="32"/>
      <c r="D38" s="32"/>
      <c r="E38" s="32"/>
      <c r="F38" s="32"/>
      <c r="G38" s="33"/>
      <c r="H38" s="33"/>
      <c r="I38" s="33"/>
      <c r="J38" s="33"/>
      <c r="K38" s="33"/>
      <c r="L38" s="33"/>
      <c r="M38" s="33"/>
      <c r="N38" s="33"/>
      <c r="O38" s="33"/>
      <c r="P38" s="17"/>
    </row>
    <row r="39" customFormat="false" ht="15" hidden="false" customHeight="true" outlineLevel="0" collapsed="false">
      <c r="B39" s="26" t="s">
        <v>56</v>
      </c>
      <c r="C39" s="27" t="str">
        <f aca="false">IF(C38="","",C38-C31)</f>
        <v/>
      </c>
      <c r="D39" s="27" t="str">
        <f aca="false">IF(D38="","",D38-D31)</f>
        <v/>
      </c>
      <c r="E39" s="27" t="str">
        <f aca="false">IF(E38="","",E38-E31)</f>
        <v/>
      </c>
      <c r="F39" s="27" t="str">
        <f aca="false">IF(F38="","",F38-F31)</f>
        <v/>
      </c>
      <c r="G39" s="28"/>
      <c r="H39" s="28"/>
      <c r="I39" s="28"/>
      <c r="J39" s="28"/>
      <c r="K39" s="28"/>
      <c r="L39" s="28"/>
      <c r="M39" s="28"/>
      <c r="N39" s="28"/>
      <c r="O39" s="28"/>
      <c r="P39" s="17"/>
    </row>
  </sheetData>
  <hyperlinks>
    <hyperlink ref="G2" r:id="rId1" display="Free demo · Get the full 13-week forecast on Etsy →"/>
    <hyperlink ref="H9" r:id="rId2" display="are in the full version →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C3CB"/>
    <pageSetUpPr fitToPage="true"/>
  </sheetPr>
  <dimension ref="A1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6"/>
    <col collapsed="false" customWidth="true" hidden="false" outlineLevel="0" max="4" min="3" style="1" width="14"/>
    <col collapsed="false" customWidth="true" hidden="false" outlineLevel="0" max="5" min="5" style="1" width="12"/>
    <col collapsed="false" customWidth="true" hidden="false" outlineLevel="0" max="6" min="6" style="1" width="30"/>
    <col collapsed="false" customWidth="true" hidden="false" outlineLevel="0" max="8" min="7" style="1" width="4"/>
  </cols>
  <sheetData>
    <row r="1" customFormat="false" ht="30" hidden="false" customHeight="true" outlineLevel="0" collapsed="false">
      <c r="A1" s="9" t="s">
        <v>57</v>
      </c>
    </row>
    <row r="2" customFormat="false" ht="15" hidden="false" customHeight="true" outlineLevel="0" collapsed="false">
      <c r="A2" s="10" t="s">
        <v>58</v>
      </c>
    </row>
    <row r="4" customFormat="false" ht="15" hidden="false" customHeight="true" outlineLevel="0" collapsed="false">
      <c r="A4" s="24" t="s">
        <v>59</v>
      </c>
      <c r="F4" s="24" t="s">
        <v>60</v>
      </c>
    </row>
    <row r="5" customFormat="false" ht="15" hidden="false" customHeight="true" outlineLevel="0" collapsed="false">
      <c r="A5" s="18" t="s">
        <v>61</v>
      </c>
      <c r="B5" s="34" t="s">
        <v>62</v>
      </c>
      <c r="F5" s="34" t="s">
        <v>35</v>
      </c>
    </row>
    <row r="6" customFormat="false" ht="15" hidden="false" customHeight="true" outlineLevel="0" collapsed="false">
      <c r="A6" s="18" t="s">
        <v>63</v>
      </c>
      <c r="B6" s="35" t="n">
        <v>46328</v>
      </c>
      <c r="F6" s="34" t="s">
        <v>36</v>
      </c>
    </row>
    <row r="7" customFormat="false" ht="15" hidden="false" customHeight="true" outlineLevel="0" collapsed="false">
      <c r="A7" s="18" t="s">
        <v>64</v>
      </c>
      <c r="B7" s="32" t="n">
        <v>42000</v>
      </c>
      <c r="F7" s="34" t="s">
        <v>37</v>
      </c>
    </row>
    <row r="8" customFormat="false" ht="15" hidden="false" customHeight="true" outlineLevel="0" collapsed="false">
      <c r="A8" s="18" t="s">
        <v>65</v>
      </c>
      <c r="B8" s="32" t="n">
        <v>15000</v>
      </c>
      <c r="F8" s="34" t="s">
        <v>38</v>
      </c>
    </row>
    <row r="9" customFormat="false" ht="15" hidden="false" customHeight="true" outlineLevel="0" collapsed="false">
      <c r="F9" s="34" t="s">
        <v>39</v>
      </c>
    </row>
    <row r="10" customFormat="false" ht="15" hidden="false" customHeight="true" outlineLevel="0" collapsed="false">
      <c r="A10" s="24" t="s">
        <v>66</v>
      </c>
      <c r="F10" s="34" t="s">
        <v>40</v>
      </c>
    </row>
    <row r="11" customFormat="false" ht="15" hidden="false" customHeight="true" outlineLevel="0" collapsed="false">
      <c r="A11" s="18" t="s">
        <v>67</v>
      </c>
      <c r="B11" s="32" t="n">
        <v>25000</v>
      </c>
      <c r="F11" s="34" t="s">
        <v>41</v>
      </c>
    </row>
    <row r="12" customFormat="false" ht="15" hidden="false" customHeight="true" outlineLevel="0" collapsed="false">
      <c r="A12" s="18" t="s">
        <v>68</v>
      </c>
      <c r="B12" s="32" t="n">
        <v>0</v>
      </c>
      <c r="F12" s="34" t="s">
        <v>69</v>
      </c>
    </row>
    <row r="13" customFormat="false" ht="15" hidden="false" customHeight="true" outlineLevel="0" collapsed="false">
      <c r="A13" s="18" t="s">
        <v>70</v>
      </c>
      <c r="B13" s="36" t="n">
        <v>0.09</v>
      </c>
      <c r="F13" s="34" t="s">
        <v>71</v>
      </c>
    </row>
    <row r="15" customFormat="false" ht="15" hidden="false" customHeight="true" outlineLevel="0" collapsed="false">
      <c r="A15" s="24" t="s">
        <v>72</v>
      </c>
      <c r="F15" s="37" t="s">
        <v>73</v>
      </c>
    </row>
    <row r="16" customFormat="false" ht="15" hidden="false" customHeight="true" outlineLevel="0" collapsed="false">
      <c r="A16" s="18" t="s">
        <v>74</v>
      </c>
      <c r="B16" s="38" t="n">
        <v>7</v>
      </c>
      <c r="F16" s="37" t="s">
        <v>75</v>
      </c>
    </row>
    <row r="18" customFormat="false" ht="15" hidden="false" customHeight="true" outlineLevel="0" collapsed="false">
      <c r="A18" s="24" t="s">
        <v>76</v>
      </c>
    </row>
    <row r="19" customFormat="false" ht="15" hidden="false" customHeight="true" outlineLevel="0" collapsed="false">
      <c r="A19" s="14" t="s">
        <v>77</v>
      </c>
      <c r="B19" s="34" t="s">
        <v>78</v>
      </c>
    </row>
    <row r="21" customFormat="false" ht="30" hidden="false" customHeight="true" outlineLevel="0" collapsed="false">
      <c r="A21" s="12" t="s">
        <v>79</v>
      </c>
      <c r="B21" s="12" t="s">
        <v>78</v>
      </c>
      <c r="C21" s="12" t="s">
        <v>80</v>
      </c>
      <c r="D21" s="12" t="s">
        <v>81</v>
      </c>
      <c r="E21" s="39" t="s">
        <v>82</v>
      </c>
    </row>
    <row r="22" customFormat="false" ht="15" hidden="false" customHeight="true" outlineLevel="0" collapsed="false">
      <c r="A22" s="18" t="s">
        <v>83</v>
      </c>
      <c r="B22" s="40" t="n">
        <v>1</v>
      </c>
      <c r="C22" s="40" t="n">
        <v>1.1</v>
      </c>
      <c r="D22" s="40" t="n">
        <v>0.85</v>
      </c>
      <c r="E22" s="41" t="n">
        <f aca="false">INDEX(B22:D22,MATCH($B$19,$B$21:$D$21,0))</f>
        <v>1</v>
      </c>
    </row>
    <row r="23" customFormat="false" ht="15" hidden="false" customHeight="true" outlineLevel="0" collapsed="false">
      <c r="A23" s="18" t="s">
        <v>84</v>
      </c>
      <c r="B23" s="38" t="n">
        <v>0</v>
      </c>
      <c r="C23" s="38" t="n">
        <v>0</v>
      </c>
      <c r="D23" s="38" t="n">
        <v>14</v>
      </c>
      <c r="E23" s="42" t="n">
        <f aca="false">INDEX(B23:D23,MATCH($B$19,$B$21:$D$21,0))</f>
        <v>0</v>
      </c>
    </row>
    <row r="24" customFormat="false" ht="15" hidden="false" customHeight="true" outlineLevel="0" collapsed="false">
      <c r="A24" s="18" t="s">
        <v>85</v>
      </c>
      <c r="B24" s="40" t="n">
        <v>1</v>
      </c>
      <c r="C24" s="40" t="n">
        <v>0.97</v>
      </c>
      <c r="D24" s="40" t="n">
        <v>1.05</v>
      </c>
      <c r="E24" s="41" t="n">
        <f aca="false">INDEX(B24:D24,MATCH($B$19,$B$21:$D$21,0))</f>
        <v>1</v>
      </c>
    </row>
  </sheetData>
  <dataValidations count="1">
    <dataValidation allowBlank="true" errorStyle="stop" operator="between" showDropDown="false" showErrorMessage="false" showInputMessage="false" sqref="B19" type="list">
      <formula1>"Base,Best,Worst"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A441"/>
    <pageSetUpPr fitToPage="true"/>
  </sheetPr>
  <dimension ref="A1:U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2"/>
    <col collapsed="false" customWidth="true" hidden="false" outlineLevel="0" max="3" min="3" style="1" width="10"/>
    <col collapsed="false" customWidth="true" hidden="false" outlineLevel="0" max="4" min="4" style="1" width="12"/>
    <col collapsed="false" customWidth="true" hidden="false" outlineLevel="0" max="5" min="5" style="1" width="15"/>
    <col collapsed="false" customWidth="true" hidden="false" outlineLevel="0" max="7" min="6" style="1" width="12"/>
    <col collapsed="false" customWidth="true" hidden="false" outlineLevel="0" max="8" min="8" style="1" width="2"/>
    <col collapsed="false" customWidth="true" hidden="false" outlineLevel="0" max="21" min="9" style="1" width="10"/>
  </cols>
  <sheetData>
    <row r="1" customFormat="false" ht="30" hidden="false" customHeight="true" outlineLevel="0" collapsed="false">
      <c r="A1" s="9" t="s">
        <v>86</v>
      </c>
    </row>
    <row r="2" customFormat="false" ht="15" hidden="false" customHeight="true" outlineLevel="0" collapsed="false">
      <c r="A2" s="10" t="s">
        <v>87</v>
      </c>
    </row>
    <row r="3" customFormat="false" ht="15" hidden="false" customHeight="true" outlineLevel="0" collapsed="false">
      <c r="I3" s="43" t="s">
        <v>88</v>
      </c>
      <c r="M3" s="17"/>
      <c r="N3" s="17"/>
      <c r="O3" s="17"/>
      <c r="P3" s="17"/>
      <c r="Q3" s="17"/>
      <c r="R3" s="17"/>
      <c r="S3" s="17"/>
      <c r="T3" s="17"/>
      <c r="U3" s="17"/>
    </row>
    <row r="4" customFormat="false" ht="30" hidden="false" customHeight="true" outlineLevel="0" collapsed="false">
      <c r="A4" s="12" t="s">
        <v>89</v>
      </c>
      <c r="B4" s="12" t="s">
        <v>90</v>
      </c>
      <c r="C4" s="12" t="s">
        <v>91</v>
      </c>
      <c r="D4" s="12" t="s">
        <v>92</v>
      </c>
      <c r="E4" s="12" t="s">
        <v>93</v>
      </c>
      <c r="F4" s="12" t="s">
        <v>94</v>
      </c>
      <c r="G4" s="12" t="s">
        <v>95</v>
      </c>
      <c r="I4" s="44" t="n">
        <f aca="false">Forecast!C5</f>
        <v>46328</v>
      </c>
      <c r="J4" s="44" t="n">
        <f aca="false">Forecast!D5</f>
        <v>46335</v>
      </c>
      <c r="K4" s="44" t="n">
        <f aca="false">Forecast!E5</f>
        <v>46342</v>
      </c>
      <c r="L4" s="44" t="n">
        <f aca="false">Forecast!F5</f>
        <v>46349</v>
      </c>
      <c r="M4" s="45"/>
      <c r="N4" s="45"/>
      <c r="O4" s="45"/>
      <c r="P4" s="45"/>
      <c r="Q4" s="45"/>
      <c r="R4" s="45"/>
      <c r="S4" s="45"/>
      <c r="T4" s="45"/>
      <c r="U4" s="45"/>
    </row>
    <row r="5" customFormat="false" ht="15" hidden="false" customHeight="true" outlineLevel="0" collapsed="false">
      <c r="A5" s="46" t="s">
        <v>96</v>
      </c>
      <c r="B5" s="46" t="s">
        <v>35</v>
      </c>
      <c r="C5" s="46" t="s">
        <v>97</v>
      </c>
      <c r="D5" s="47" t="n">
        <v>18500</v>
      </c>
      <c r="E5" s="46" t="s">
        <v>98</v>
      </c>
      <c r="F5" s="48" t="n">
        <v>46332</v>
      </c>
      <c r="G5" s="48"/>
      <c r="I5" s="49" t="n">
        <f aca="false">IF(OR($A5="",$D5="",$E5="",$F5=""),0,IFERROR(MAX(0,IF(MIN((I$4+6),IF($G5="",(I$4+6),$G5))&lt;$F5,0,CHOOSE(MATCH($E5,{"Weekly","Every 2 weeks","Monthly","Quarterly","Yearly","One-time"},0),INT((MIN((I$4+6),IF($G5="",(I$4+6),$G5))-$F5)/7)+1,INT((MIN((I$4+6),IF($G5="",(I$4+6),$G5))-$F5)/14)+1,((YEAR(MIN((I$4+6),IF($G5="",(I$4+6),$G5)))-YEAR($F5))*12+MONTH(MIN((I$4+6),IF($G5="",(I$4+6),$G5)))-MONTH($F5)-IF(DAY(MIN((I$4+6),IF($G5="",(I$4+6),$G5)))&lt;DAY($F5),1,0))+1,INT(((YEAR(MIN((I$4+6),IF($G5="",(I$4+6),$G5)))-YEAR($F5))*12+MONTH(MIN((I$4+6),IF($G5="",(I$4+6),$G5)))-MONTH($F5)-IF(DAY(MIN((I$4+6),IF($G5="",(I$4+6),$G5)))&lt;DAY($F5),1,0))/3)+1,INT(((YEAR(MIN((I$4+6),IF($G5="",(I$4+6),$G5)))-YEAR($F5))*12+MONTH(MIN((I$4+6),IF($G5="",(I$4+6),$G5)))-MONTH($F5)-IF(DAY(MIN((I$4+6),IF($G5="",(I$4+6),$G5)))&lt;DAY($F5),1,0))/12)+1,1))-IF((I$4-1)&lt;$F5,0,CHOOSE(MATCH($E5,{"Weekly","Every 2 weeks","Monthly","Quarterly","Yearly","One-time"},0),INT(((I$4-1)-$F5)/7)+1,INT(((I$4-1)-$F5)/14)+1,((YEAR((I$4-1))-YEAR($F5))*12+MONTH((I$4-1))-MONTH($F5)-IF(DAY((I$4-1))&lt;DAY($F5),1,0))+1,INT(((YEAR((I$4-1))-YEAR($F5))*12+MONTH((I$4-1))-MONTH($F5)-IF(DAY((I$4-1))&lt;DAY($F5),1,0))/3)+1,INT(((YEAR((I$4-1))-YEAR($F5))*12+MONTH((I$4-1))-MONTH($F5)-IF(DAY((I$4-1))&lt;DAY($F5),1,0))/12)+1,1))),0)*$D5)</f>
        <v>18500</v>
      </c>
      <c r="J5" s="49" t="n">
        <f aca="false">IF(OR($A5="",$D5="",$E5="",$F5=""),0,IFERROR(MAX(0,IF(MIN((J$4+6),IF($G5="",(J$4+6),$G5))&lt;$F5,0,CHOOSE(MATCH($E5,{"Weekly","Every 2 weeks","Monthly","Quarterly","Yearly","One-time"},0),INT((MIN((J$4+6),IF($G5="",(J$4+6),$G5))-$F5)/7)+1,INT((MIN((J$4+6),IF($G5="",(J$4+6),$G5))-$F5)/14)+1,((YEAR(MIN((J$4+6),IF($G5="",(J$4+6),$G5)))-YEAR($F5))*12+MONTH(MIN((J$4+6),IF($G5="",(J$4+6),$G5)))-MONTH($F5)-IF(DAY(MIN((J$4+6),IF($G5="",(J$4+6),$G5)))&lt;DAY($F5),1,0))+1,INT(((YEAR(MIN((J$4+6),IF($G5="",(J$4+6),$G5)))-YEAR($F5))*12+MONTH(MIN((J$4+6),IF($G5="",(J$4+6),$G5)))-MONTH($F5)-IF(DAY(MIN((J$4+6),IF($G5="",(J$4+6),$G5)))&lt;DAY($F5),1,0))/3)+1,INT(((YEAR(MIN((J$4+6),IF($G5="",(J$4+6),$G5)))-YEAR($F5))*12+MONTH(MIN((J$4+6),IF($G5="",(J$4+6),$G5)))-MONTH($F5)-IF(DAY(MIN((J$4+6),IF($G5="",(J$4+6),$G5)))&lt;DAY($F5),1,0))/12)+1,1))-IF((J$4-1)&lt;$F5,0,CHOOSE(MATCH($E5,{"Weekly","Every 2 weeks","Monthly","Quarterly","Yearly","One-time"},0),INT(((J$4-1)-$F5)/7)+1,INT(((J$4-1)-$F5)/14)+1,((YEAR((J$4-1))-YEAR($F5))*12+MONTH((J$4-1))-MONTH($F5)-IF(DAY((J$4-1))&lt;DAY($F5),1,0))+1,INT(((YEAR((J$4-1))-YEAR($F5))*12+MONTH((J$4-1))-MONTH($F5)-IF(DAY((J$4-1))&lt;DAY($F5),1,0))/3)+1,INT(((YEAR((J$4-1))-YEAR($F5))*12+MONTH((J$4-1))-MONTH($F5)-IF(DAY((J$4-1))&lt;DAY($F5),1,0))/12)+1,1))),0)*$D5)</f>
        <v>0</v>
      </c>
      <c r="K5" s="49" t="n">
        <f aca="false">IF(OR($A5="",$D5="",$E5="",$F5=""),0,IFERROR(MAX(0,IF(MIN((K$4+6),IF($G5="",(K$4+6),$G5))&lt;$F5,0,CHOOSE(MATCH($E5,{"Weekly","Every 2 weeks","Monthly","Quarterly","Yearly","One-time"},0),INT((MIN((K$4+6),IF($G5="",(K$4+6),$G5))-$F5)/7)+1,INT((MIN((K$4+6),IF($G5="",(K$4+6),$G5))-$F5)/14)+1,((YEAR(MIN((K$4+6),IF($G5="",(K$4+6),$G5)))-YEAR($F5))*12+MONTH(MIN((K$4+6),IF($G5="",(K$4+6),$G5)))-MONTH($F5)-IF(DAY(MIN((K$4+6),IF($G5="",(K$4+6),$G5)))&lt;DAY($F5),1,0))+1,INT(((YEAR(MIN((K$4+6),IF($G5="",(K$4+6),$G5)))-YEAR($F5))*12+MONTH(MIN((K$4+6),IF($G5="",(K$4+6),$G5)))-MONTH($F5)-IF(DAY(MIN((K$4+6),IF($G5="",(K$4+6),$G5)))&lt;DAY($F5),1,0))/3)+1,INT(((YEAR(MIN((K$4+6),IF($G5="",(K$4+6),$G5)))-YEAR($F5))*12+MONTH(MIN((K$4+6),IF($G5="",(K$4+6),$G5)))-MONTH($F5)-IF(DAY(MIN((K$4+6),IF($G5="",(K$4+6),$G5)))&lt;DAY($F5),1,0))/12)+1,1))-IF((K$4-1)&lt;$F5,0,CHOOSE(MATCH($E5,{"Weekly","Every 2 weeks","Monthly","Quarterly","Yearly","One-time"},0),INT(((K$4-1)-$F5)/7)+1,INT(((K$4-1)-$F5)/14)+1,((YEAR((K$4-1))-YEAR($F5))*12+MONTH((K$4-1))-MONTH($F5)-IF(DAY((K$4-1))&lt;DAY($F5),1,0))+1,INT(((YEAR((K$4-1))-YEAR($F5))*12+MONTH((K$4-1))-MONTH($F5)-IF(DAY((K$4-1))&lt;DAY($F5),1,0))/3)+1,INT(((YEAR((K$4-1))-YEAR($F5))*12+MONTH((K$4-1))-MONTH($F5)-IF(DAY((K$4-1))&lt;DAY($F5),1,0))/12)+1,1))),0)*$D5)</f>
        <v>18500</v>
      </c>
      <c r="L5" s="49" t="n">
        <f aca="false">IF(OR($A5="",$D5="",$E5="",$F5=""),0,IFERROR(MAX(0,IF(MIN((L$4+6),IF($G5="",(L$4+6),$G5))&lt;$F5,0,CHOOSE(MATCH($E5,{"Weekly","Every 2 weeks","Monthly","Quarterly","Yearly","One-time"},0),INT((MIN((L$4+6),IF($G5="",(L$4+6),$G5))-$F5)/7)+1,INT((MIN((L$4+6),IF($G5="",(L$4+6),$G5))-$F5)/14)+1,((YEAR(MIN((L$4+6),IF($G5="",(L$4+6),$G5)))-YEAR($F5))*12+MONTH(MIN((L$4+6),IF($G5="",(L$4+6),$G5)))-MONTH($F5)-IF(DAY(MIN((L$4+6),IF($G5="",(L$4+6),$G5)))&lt;DAY($F5),1,0))+1,INT(((YEAR(MIN((L$4+6),IF($G5="",(L$4+6),$G5)))-YEAR($F5))*12+MONTH(MIN((L$4+6),IF($G5="",(L$4+6),$G5)))-MONTH($F5)-IF(DAY(MIN((L$4+6),IF($G5="",(L$4+6),$G5)))&lt;DAY($F5),1,0))/3)+1,INT(((YEAR(MIN((L$4+6),IF($G5="",(L$4+6),$G5)))-YEAR($F5))*12+MONTH(MIN((L$4+6),IF($G5="",(L$4+6),$G5)))-MONTH($F5)-IF(DAY(MIN((L$4+6),IF($G5="",(L$4+6),$G5)))&lt;DAY($F5),1,0))/12)+1,1))-IF((L$4-1)&lt;$F5,0,CHOOSE(MATCH($E5,{"Weekly","Every 2 weeks","Monthly","Quarterly","Yearly","One-time"},0),INT(((L$4-1)-$F5)/7)+1,INT(((L$4-1)-$F5)/14)+1,((YEAR((L$4-1))-YEAR($F5))*12+MONTH((L$4-1))-MONTH($F5)-IF(DAY((L$4-1))&lt;DAY($F5),1,0))+1,INT(((YEAR((L$4-1))-YEAR($F5))*12+MONTH((L$4-1))-MONTH($F5)-IF(DAY((L$4-1))&lt;DAY($F5),1,0))/3)+1,INT(((YEAR((L$4-1))-YEAR($F5))*12+MONTH((L$4-1))-MONTH($F5)-IF(DAY((L$4-1))&lt;DAY($F5),1,0))/12)+1,1))),0)*$D5)</f>
        <v>0</v>
      </c>
      <c r="M5" s="50"/>
      <c r="N5" s="50"/>
      <c r="O5" s="50"/>
      <c r="P5" s="50"/>
      <c r="Q5" s="50"/>
      <c r="R5" s="50"/>
      <c r="S5" s="50"/>
      <c r="T5" s="50"/>
      <c r="U5" s="50"/>
    </row>
    <row r="6" customFormat="false" ht="15" hidden="false" customHeight="true" outlineLevel="0" collapsed="false">
      <c r="A6" s="46" t="s">
        <v>99</v>
      </c>
      <c r="B6" s="46" t="s">
        <v>35</v>
      </c>
      <c r="C6" s="46" t="s">
        <v>97</v>
      </c>
      <c r="D6" s="47" t="n">
        <v>6000</v>
      </c>
      <c r="E6" s="46" t="s">
        <v>100</v>
      </c>
      <c r="F6" s="48" t="n">
        <v>46341</v>
      </c>
      <c r="G6" s="48"/>
      <c r="I6" s="49" t="n">
        <f aca="false">IF(OR($A6="",$D6="",$E6="",$F6=""),0,IFERROR(MAX(0,IF(MIN((I$4+6),IF($G6="",(I$4+6),$G6))&lt;$F6,0,CHOOSE(MATCH($E6,{"Weekly","Every 2 weeks","Monthly","Quarterly","Yearly","One-time"},0),INT((MIN((I$4+6),IF($G6="",(I$4+6),$G6))-$F6)/7)+1,INT((MIN((I$4+6),IF($G6="",(I$4+6),$G6))-$F6)/14)+1,((YEAR(MIN((I$4+6),IF($G6="",(I$4+6),$G6)))-YEAR($F6))*12+MONTH(MIN((I$4+6),IF($G6="",(I$4+6),$G6)))-MONTH($F6)-IF(DAY(MIN((I$4+6),IF($G6="",(I$4+6),$G6)))&lt;DAY($F6),1,0))+1,INT(((YEAR(MIN((I$4+6),IF($G6="",(I$4+6),$G6)))-YEAR($F6))*12+MONTH(MIN((I$4+6),IF($G6="",(I$4+6),$G6)))-MONTH($F6)-IF(DAY(MIN((I$4+6),IF($G6="",(I$4+6),$G6)))&lt;DAY($F6),1,0))/3)+1,INT(((YEAR(MIN((I$4+6),IF($G6="",(I$4+6),$G6)))-YEAR($F6))*12+MONTH(MIN((I$4+6),IF($G6="",(I$4+6),$G6)))-MONTH($F6)-IF(DAY(MIN((I$4+6),IF($G6="",(I$4+6),$G6)))&lt;DAY($F6),1,0))/12)+1,1))-IF((I$4-1)&lt;$F6,0,CHOOSE(MATCH($E6,{"Weekly","Every 2 weeks","Monthly","Quarterly","Yearly","One-time"},0),INT(((I$4-1)-$F6)/7)+1,INT(((I$4-1)-$F6)/14)+1,((YEAR((I$4-1))-YEAR($F6))*12+MONTH((I$4-1))-MONTH($F6)-IF(DAY((I$4-1))&lt;DAY($F6),1,0))+1,INT(((YEAR((I$4-1))-YEAR($F6))*12+MONTH((I$4-1))-MONTH($F6)-IF(DAY((I$4-1))&lt;DAY($F6),1,0))/3)+1,INT(((YEAR((I$4-1))-YEAR($F6))*12+MONTH((I$4-1))-MONTH($F6)-IF(DAY((I$4-1))&lt;DAY($F6),1,0))/12)+1,1))),0)*$D6)</f>
        <v>0</v>
      </c>
      <c r="J6" s="49" t="n">
        <f aca="false">IF(OR($A6="",$D6="",$E6="",$F6=""),0,IFERROR(MAX(0,IF(MIN((J$4+6),IF($G6="",(J$4+6),$G6))&lt;$F6,0,CHOOSE(MATCH($E6,{"Weekly","Every 2 weeks","Monthly","Quarterly","Yearly","One-time"},0),INT((MIN((J$4+6),IF($G6="",(J$4+6),$G6))-$F6)/7)+1,INT((MIN((J$4+6),IF($G6="",(J$4+6),$G6))-$F6)/14)+1,((YEAR(MIN((J$4+6),IF($G6="",(J$4+6),$G6)))-YEAR($F6))*12+MONTH(MIN((J$4+6),IF($G6="",(J$4+6),$G6)))-MONTH($F6)-IF(DAY(MIN((J$4+6),IF($G6="",(J$4+6),$G6)))&lt;DAY($F6),1,0))+1,INT(((YEAR(MIN((J$4+6),IF($G6="",(J$4+6),$G6)))-YEAR($F6))*12+MONTH(MIN((J$4+6),IF($G6="",(J$4+6),$G6)))-MONTH($F6)-IF(DAY(MIN((J$4+6),IF($G6="",(J$4+6),$G6)))&lt;DAY($F6),1,0))/3)+1,INT(((YEAR(MIN((J$4+6),IF($G6="",(J$4+6),$G6)))-YEAR($F6))*12+MONTH(MIN((J$4+6),IF($G6="",(J$4+6),$G6)))-MONTH($F6)-IF(DAY(MIN((J$4+6),IF($G6="",(J$4+6),$G6)))&lt;DAY($F6),1,0))/12)+1,1))-IF((J$4-1)&lt;$F6,0,CHOOSE(MATCH($E6,{"Weekly","Every 2 weeks","Monthly","Quarterly","Yearly","One-time"},0),INT(((J$4-1)-$F6)/7)+1,INT(((J$4-1)-$F6)/14)+1,((YEAR((J$4-1))-YEAR($F6))*12+MONTH((J$4-1))-MONTH($F6)-IF(DAY((J$4-1))&lt;DAY($F6),1,0))+1,INT(((YEAR((J$4-1))-YEAR($F6))*12+MONTH((J$4-1))-MONTH($F6)-IF(DAY((J$4-1))&lt;DAY($F6),1,0))/3)+1,INT(((YEAR((J$4-1))-YEAR($F6))*12+MONTH((J$4-1))-MONTH($F6)-IF(DAY((J$4-1))&lt;DAY($F6),1,0))/12)+1,1))),0)*$D6)</f>
        <v>6000</v>
      </c>
      <c r="K6" s="49" t="n">
        <f aca="false">IF(OR($A6="",$D6="",$E6="",$F6=""),0,IFERROR(MAX(0,IF(MIN((K$4+6),IF($G6="",(K$4+6),$G6))&lt;$F6,0,CHOOSE(MATCH($E6,{"Weekly","Every 2 weeks","Monthly","Quarterly","Yearly","One-time"},0),INT((MIN((K$4+6),IF($G6="",(K$4+6),$G6))-$F6)/7)+1,INT((MIN((K$4+6),IF($G6="",(K$4+6),$G6))-$F6)/14)+1,((YEAR(MIN((K$4+6),IF($G6="",(K$4+6),$G6)))-YEAR($F6))*12+MONTH(MIN((K$4+6),IF($G6="",(K$4+6),$G6)))-MONTH($F6)-IF(DAY(MIN((K$4+6),IF($G6="",(K$4+6),$G6)))&lt;DAY($F6),1,0))+1,INT(((YEAR(MIN((K$4+6),IF($G6="",(K$4+6),$G6)))-YEAR($F6))*12+MONTH(MIN((K$4+6),IF($G6="",(K$4+6),$G6)))-MONTH($F6)-IF(DAY(MIN((K$4+6),IF($G6="",(K$4+6),$G6)))&lt;DAY($F6),1,0))/3)+1,INT(((YEAR(MIN((K$4+6),IF($G6="",(K$4+6),$G6)))-YEAR($F6))*12+MONTH(MIN((K$4+6),IF($G6="",(K$4+6),$G6)))-MONTH($F6)-IF(DAY(MIN((K$4+6),IF($G6="",(K$4+6),$G6)))&lt;DAY($F6),1,0))/12)+1,1))-IF((K$4-1)&lt;$F6,0,CHOOSE(MATCH($E6,{"Weekly","Every 2 weeks","Monthly","Quarterly","Yearly","One-time"},0),INT(((K$4-1)-$F6)/7)+1,INT(((K$4-1)-$F6)/14)+1,((YEAR((K$4-1))-YEAR($F6))*12+MONTH((K$4-1))-MONTH($F6)-IF(DAY((K$4-1))&lt;DAY($F6),1,0))+1,INT(((YEAR((K$4-1))-YEAR($F6))*12+MONTH((K$4-1))-MONTH($F6)-IF(DAY((K$4-1))&lt;DAY($F6),1,0))/3)+1,INT(((YEAR((K$4-1))-YEAR($F6))*12+MONTH((K$4-1))-MONTH($F6)-IF(DAY((K$4-1))&lt;DAY($F6),1,0))/12)+1,1))),0)*$D6)</f>
        <v>0</v>
      </c>
      <c r="L6" s="49" t="n">
        <f aca="false">IF(OR($A6="",$D6="",$E6="",$F6=""),0,IFERROR(MAX(0,IF(MIN((L$4+6),IF($G6="",(L$4+6),$G6))&lt;$F6,0,CHOOSE(MATCH($E6,{"Weekly","Every 2 weeks","Monthly","Quarterly","Yearly","One-time"},0),INT((MIN((L$4+6),IF($G6="",(L$4+6),$G6))-$F6)/7)+1,INT((MIN((L$4+6),IF($G6="",(L$4+6),$G6))-$F6)/14)+1,((YEAR(MIN((L$4+6),IF($G6="",(L$4+6),$G6)))-YEAR($F6))*12+MONTH(MIN((L$4+6),IF($G6="",(L$4+6),$G6)))-MONTH($F6)-IF(DAY(MIN((L$4+6),IF($G6="",(L$4+6),$G6)))&lt;DAY($F6),1,0))+1,INT(((YEAR(MIN((L$4+6),IF($G6="",(L$4+6),$G6)))-YEAR($F6))*12+MONTH(MIN((L$4+6),IF($G6="",(L$4+6),$G6)))-MONTH($F6)-IF(DAY(MIN((L$4+6),IF($G6="",(L$4+6),$G6)))&lt;DAY($F6),1,0))/3)+1,INT(((YEAR(MIN((L$4+6),IF($G6="",(L$4+6),$G6)))-YEAR($F6))*12+MONTH(MIN((L$4+6),IF($G6="",(L$4+6),$G6)))-MONTH($F6)-IF(DAY(MIN((L$4+6),IF($G6="",(L$4+6),$G6)))&lt;DAY($F6),1,0))/12)+1,1))-IF((L$4-1)&lt;$F6,0,CHOOSE(MATCH($E6,{"Weekly","Every 2 weeks","Monthly","Quarterly","Yearly","One-time"},0),INT(((L$4-1)-$F6)/7)+1,INT(((L$4-1)-$F6)/14)+1,((YEAR((L$4-1))-YEAR($F6))*12+MONTH((L$4-1))-MONTH($F6)-IF(DAY((L$4-1))&lt;DAY($F6),1,0))+1,INT(((YEAR((L$4-1))-YEAR($F6))*12+MONTH((L$4-1))-MONTH($F6)-IF(DAY((L$4-1))&lt;DAY($F6),1,0))/3)+1,INT(((YEAR((L$4-1))-YEAR($F6))*12+MONTH((L$4-1))-MONTH($F6)-IF(DAY((L$4-1))&lt;DAY($F6),1,0))/12)+1,1))),0)*$D6)</f>
        <v>0</v>
      </c>
      <c r="M6" s="50"/>
      <c r="N6" s="50"/>
      <c r="O6" s="50"/>
      <c r="P6" s="50"/>
      <c r="Q6" s="50"/>
      <c r="R6" s="50"/>
      <c r="S6" s="50"/>
      <c r="T6" s="50"/>
      <c r="U6" s="50"/>
    </row>
    <row r="7" customFormat="false" ht="15" hidden="false" customHeight="true" outlineLevel="0" collapsed="false">
      <c r="A7" s="46" t="s">
        <v>101</v>
      </c>
      <c r="B7" s="46" t="s">
        <v>36</v>
      </c>
      <c r="C7" s="46" t="s">
        <v>97</v>
      </c>
      <c r="D7" s="47" t="n">
        <v>4200</v>
      </c>
      <c r="E7" s="46" t="s">
        <v>100</v>
      </c>
      <c r="F7" s="48" t="n">
        <v>46327</v>
      </c>
      <c r="G7" s="48"/>
      <c r="I7" s="49" t="n">
        <f aca="false">IF(OR($A7="",$D7="",$E7="",$F7=""),0,IFERROR(MAX(0,IF(MIN((I$4+6),IF($G7="",(I$4+6),$G7))&lt;$F7,0,CHOOSE(MATCH($E7,{"Weekly","Every 2 weeks","Monthly","Quarterly","Yearly","One-time"},0),INT((MIN((I$4+6),IF($G7="",(I$4+6),$G7))-$F7)/7)+1,INT((MIN((I$4+6),IF($G7="",(I$4+6),$G7))-$F7)/14)+1,((YEAR(MIN((I$4+6),IF($G7="",(I$4+6),$G7)))-YEAR($F7))*12+MONTH(MIN((I$4+6),IF($G7="",(I$4+6),$G7)))-MONTH($F7)-IF(DAY(MIN((I$4+6),IF($G7="",(I$4+6),$G7)))&lt;DAY($F7),1,0))+1,INT(((YEAR(MIN((I$4+6),IF($G7="",(I$4+6),$G7)))-YEAR($F7))*12+MONTH(MIN((I$4+6),IF($G7="",(I$4+6),$G7)))-MONTH($F7)-IF(DAY(MIN((I$4+6),IF($G7="",(I$4+6),$G7)))&lt;DAY($F7),1,0))/3)+1,INT(((YEAR(MIN((I$4+6),IF($G7="",(I$4+6),$G7)))-YEAR($F7))*12+MONTH(MIN((I$4+6),IF($G7="",(I$4+6),$G7)))-MONTH($F7)-IF(DAY(MIN((I$4+6),IF($G7="",(I$4+6),$G7)))&lt;DAY($F7),1,0))/12)+1,1))-IF((I$4-1)&lt;$F7,0,CHOOSE(MATCH($E7,{"Weekly","Every 2 weeks","Monthly","Quarterly","Yearly","One-time"},0),INT(((I$4-1)-$F7)/7)+1,INT(((I$4-1)-$F7)/14)+1,((YEAR((I$4-1))-YEAR($F7))*12+MONTH((I$4-1))-MONTH($F7)-IF(DAY((I$4-1))&lt;DAY($F7),1,0))+1,INT(((YEAR((I$4-1))-YEAR($F7))*12+MONTH((I$4-1))-MONTH($F7)-IF(DAY((I$4-1))&lt;DAY($F7),1,0))/3)+1,INT(((YEAR((I$4-1))-YEAR($F7))*12+MONTH((I$4-1))-MONTH($F7)-IF(DAY((I$4-1))&lt;DAY($F7),1,0))/12)+1,1))),0)*$D7)</f>
        <v>0</v>
      </c>
      <c r="J7" s="49" t="n">
        <f aca="false">IF(OR($A7="",$D7="",$E7="",$F7=""),0,IFERROR(MAX(0,IF(MIN((J$4+6),IF($G7="",(J$4+6),$G7))&lt;$F7,0,CHOOSE(MATCH($E7,{"Weekly","Every 2 weeks","Monthly","Quarterly","Yearly","One-time"},0),INT((MIN((J$4+6),IF($G7="",(J$4+6),$G7))-$F7)/7)+1,INT((MIN((J$4+6),IF($G7="",(J$4+6),$G7))-$F7)/14)+1,((YEAR(MIN((J$4+6),IF($G7="",(J$4+6),$G7)))-YEAR($F7))*12+MONTH(MIN((J$4+6),IF($G7="",(J$4+6),$G7)))-MONTH($F7)-IF(DAY(MIN((J$4+6),IF($G7="",(J$4+6),$G7)))&lt;DAY($F7),1,0))+1,INT(((YEAR(MIN((J$4+6),IF($G7="",(J$4+6),$G7)))-YEAR($F7))*12+MONTH(MIN((J$4+6),IF($G7="",(J$4+6),$G7)))-MONTH($F7)-IF(DAY(MIN((J$4+6),IF($G7="",(J$4+6),$G7)))&lt;DAY($F7),1,0))/3)+1,INT(((YEAR(MIN((J$4+6),IF($G7="",(J$4+6),$G7)))-YEAR($F7))*12+MONTH(MIN((J$4+6),IF($G7="",(J$4+6),$G7)))-MONTH($F7)-IF(DAY(MIN((J$4+6),IF($G7="",(J$4+6),$G7)))&lt;DAY($F7),1,0))/12)+1,1))-IF((J$4-1)&lt;$F7,0,CHOOSE(MATCH($E7,{"Weekly","Every 2 weeks","Monthly","Quarterly","Yearly","One-time"},0),INT(((J$4-1)-$F7)/7)+1,INT(((J$4-1)-$F7)/14)+1,((YEAR((J$4-1))-YEAR($F7))*12+MONTH((J$4-1))-MONTH($F7)-IF(DAY((J$4-1))&lt;DAY($F7),1,0))+1,INT(((YEAR((J$4-1))-YEAR($F7))*12+MONTH((J$4-1))-MONTH($F7)-IF(DAY((J$4-1))&lt;DAY($F7),1,0))/3)+1,INT(((YEAR((J$4-1))-YEAR($F7))*12+MONTH((J$4-1))-MONTH($F7)-IF(DAY((J$4-1))&lt;DAY($F7),1,0))/12)+1,1))),0)*$D7)</f>
        <v>0</v>
      </c>
      <c r="K7" s="49" t="n">
        <f aca="false">IF(OR($A7="",$D7="",$E7="",$F7=""),0,IFERROR(MAX(0,IF(MIN((K$4+6),IF($G7="",(K$4+6),$G7))&lt;$F7,0,CHOOSE(MATCH($E7,{"Weekly","Every 2 weeks","Monthly","Quarterly","Yearly","One-time"},0),INT((MIN((K$4+6),IF($G7="",(K$4+6),$G7))-$F7)/7)+1,INT((MIN((K$4+6),IF($G7="",(K$4+6),$G7))-$F7)/14)+1,((YEAR(MIN((K$4+6),IF($G7="",(K$4+6),$G7)))-YEAR($F7))*12+MONTH(MIN((K$4+6),IF($G7="",(K$4+6),$G7)))-MONTH($F7)-IF(DAY(MIN((K$4+6),IF($G7="",(K$4+6),$G7)))&lt;DAY($F7),1,0))+1,INT(((YEAR(MIN((K$4+6),IF($G7="",(K$4+6),$G7)))-YEAR($F7))*12+MONTH(MIN((K$4+6),IF($G7="",(K$4+6),$G7)))-MONTH($F7)-IF(DAY(MIN((K$4+6),IF($G7="",(K$4+6),$G7)))&lt;DAY($F7),1,0))/3)+1,INT(((YEAR(MIN((K$4+6),IF($G7="",(K$4+6),$G7)))-YEAR($F7))*12+MONTH(MIN((K$4+6),IF($G7="",(K$4+6),$G7)))-MONTH($F7)-IF(DAY(MIN((K$4+6),IF($G7="",(K$4+6),$G7)))&lt;DAY($F7),1,0))/12)+1,1))-IF((K$4-1)&lt;$F7,0,CHOOSE(MATCH($E7,{"Weekly","Every 2 weeks","Monthly","Quarterly","Yearly","One-time"},0),INT(((K$4-1)-$F7)/7)+1,INT(((K$4-1)-$F7)/14)+1,((YEAR((K$4-1))-YEAR($F7))*12+MONTH((K$4-1))-MONTH($F7)-IF(DAY((K$4-1))&lt;DAY($F7),1,0))+1,INT(((YEAR((K$4-1))-YEAR($F7))*12+MONTH((K$4-1))-MONTH($F7)-IF(DAY((K$4-1))&lt;DAY($F7),1,0))/3)+1,INT(((YEAR((K$4-1))-YEAR($F7))*12+MONTH((K$4-1))-MONTH($F7)-IF(DAY((K$4-1))&lt;DAY($F7),1,0))/12)+1,1))),0)*$D7)</f>
        <v>0</v>
      </c>
      <c r="L7" s="49" t="n">
        <f aca="false">IF(OR($A7="",$D7="",$E7="",$F7=""),0,IFERROR(MAX(0,IF(MIN((L$4+6),IF($G7="",(L$4+6),$G7))&lt;$F7,0,CHOOSE(MATCH($E7,{"Weekly","Every 2 weeks","Monthly","Quarterly","Yearly","One-time"},0),INT((MIN((L$4+6),IF($G7="",(L$4+6),$G7))-$F7)/7)+1,INT((MIN((L$4+6),IF($G7="",(L$4+6),$G7))-$F7)/14)+1,((YEAR(MIN((L$4+6),IF($G7="",(L$4+6),$G7)))-YEAR($F7))*12+MONTH(MIN((L$4+6),IF($G7="",(L$4+6),$G7)))-MONTH($F7)-IF(DAY(MIN((L$4+6),IF($G7="",(L$4+6),$G7)))&lt;DAY($F7),1,0))+1,INT(((YEAR(MIN((L$4+6),IF($G7="",(L$4+6),$G7)))-YEAR($F7))*12+MONTH(MIN((L$4+6),IF($G7="",(L$4+6),$G7)))-MONTH($F7)-IF(DAY(MIN((L$4+6),IF($G7="",(L$4+6),$G7)))&lt;DAY($F7),1,0))/3)+1,INT(((YEAR(MIN((L$4+6),IF($G7="",(L$4+6),$G7)))-YEAR($F7))*12+MONTH(MIN((L$4+6),IF($G7="",(L$4+6),$G7)))-MONTH($F7)-IF(DAY(MIN((L$4+6),IF($G7="",(L$4+6),$G7)))&lt;DAY($F7),1,0))/12)+1,1))-IF((L$4-1)&lt;$F7,0,CHOOSE(MATCH($E7,{"Weekly","Every 2 weeks","Monthly","Quarterly","Yearly","One-time"},0),INT(((L$4-1)-$F7)/7)+1,INT(((L$4-1)-$F7)/14)+1,((YEAR((L$4-1))-YEAR($F7))*12+MONTH((L$4-1))-MONTH($F7)-IF(DAY((L$4-1))&lt;DAY($F7),1,0))+1,INT(((YEAR((L$4-1))-YEAR($F7))*12+MONTH((L$4-1))-MONTH($F7)-IF(DAY((L$4-1))&lt;DAY($F7),1,0))/3)+1,INT(((YEAR((L$4-1))-YEAR($F7))*12+MONTH((L$4-1))-MONTH($F7)-IF(DAY((L$4-1))&lt;DAY($F7),1,0))/12)+1,1))),0)*$D7)</f>
        <v>0</v>
      </c>
      <c r="M7" s="50"/>
      <c r="N7" s="50"/>
      <c r="O7" s="50"/>
      <c r="P7" s="50"/>
      <c r="Q7" s="50"/>
      <c r="R7" s="50"/>
      <c r="S7" s="50"/>
      <c r="T7" s="50"/>
      <c r="U7" s="50"/>
    </row>
    <row r="8" customFormat="false" ht="15" hidden="false" customHeight="true" outlineLevel="0" collapsed="false">
      <c r="A8" s="46" t="s">
        <v>102</v>
      </c>
      <c r="B8" s="46" t="s">
        <v>36</v>
      </c>
      <c r="C8" s="46" t="s">
        <v>97</v>
      </c>
      <c r="D8" s="47" t="n">
        <v>650</v>
      </c>
      <c r="E8" s="46" t="s">
        <v>100</v>
      </c>
      <c r="F8" s="48" t="n">
        <v>46336</v>
      </c>
      <c r="G8" s="48"/>
      <c r="I8" s="49" t="n">
        <f aca="false">IF(OR($A8="",$D8="",$E8="",$F8=""),0,IFERROR(MAX(0,IF(MIN((I$4+6),IF($G8="",(I$4+6),$G8))&lt;$F8,0,CHOOSE(MATCH($E8,{"Weekly","Every 2 weeks","Monthly","Quarterly","Yearly","One-time"},0),INT((MIN((I$4+6),IF($G8="",(I$4+6),$G8))-$F8)/7)+1,INT((MIN((I$4+6),IF($G8="",(I$4+6),$G8))-$F8)/14)+1,((YEAR(MIN((I$4+6),IF($G8="",(I$4+6),$G8)))-YEAR($F8))*12+MONTH(MIN((I$4+6),IF($G8="",(I$4+6),$G8)))-MONTH($F8)-IF(DAY(MIN((I$4+6),IF($G8="",(I$4+6),$G8)))&lt;DAY($F8),1,0))+1,INT(((YEAR(MIN((I$4+6),IF($G8="",(I$4+6),$G8)))-YEAR($F8))*12+MONTH(MIN((I$4+6),IF($G8="",(I$4+6),$G8)))-MONTH($F8)-IF(DAY(MIN((I$4+6),IF($G8="",(I$4+6),$G8)))&lt;DAY($F8),1,0))/3)+1,INT(((YEAR(MIN((I$4+6),IF($G8="",(I$4+6),$G8)))-YEAR($F8))*12+MONTH(MIN((I$4+6),IF($G8="",(I$4+6),$G8)))-MONTH($F8)-IF(DAY(MIN((I$4+6),IF($G8="",(I$4+6),$G8)))&lt;DAY($F8),1,0))/12)+1,1))-IF((I$4-1)&lt;$F8,0,CHOOSE(MATCH($E8,{"Weekly","Every 2 weeks","Monthly","Quarterly","Yearly","One-time"},0),INT(((I$4-1)-$F8)/7)+1,INT(((I$4-1)-$F8)/14)+1,((YEAR((I$4-1))-YEAR($F8))*12+MONTH((I$4-1))-MONTH($F8)-IF(DAY((I$4-1))&lt;DAY($F8),1,0))+1,INT(((YEAR((I$4-1))-YEAR($F8))*12+MONTH((I$4-1))-MONTH($F8)-IF(DAY((I$4-1))&lt;DAY($F8),1,0))/3)+1,INT(((YEAR((I$4-1))-YEAR($F8))*12+MONTH((I$4-1))-MONTH($F8)-IF(DAY((I$4-1))&lt;DAY($F8),1,0))/12)+1,1))),0)*$D8)</f>
        <v>0</v>
      </c>
      <c r="J8" s="49" t="n">
        <f aca="false">IF(OR($A8="",$D8="",$E8="",$F8=""),0,IFERROR(MAX(0,IF(MIN((J$4+6),IF($G8="",(J$4+6),$G8))&lt;$F8,0,CHOOSE(MATCH($E8,{"Weekly","Every 2 weeks","Monthly","Quarterly","Yearly","One-time"},0),INT((MIN((J$4+6),IF($G8="",(J$4+6),$G8))-$F8)/7)+1,INT((MIN((J$4+6),IF($G8="",(J$4+6),$G8))-$F8)/14)+1,((YEAR(MIN((J$4+6),IF($G8="",(J$4+6),$G8)))-YEAR($F8))*12+MONTH(MIN((J$4+6),IF($G8="",(J$4+6),$G8)))-MONTH($F8)-IF(DAY(MIN((J$4+6),IF($G8="",(J$4+6),$G8)))&lt;DAY($F8),1,0))+1,INT(((YEAR(MIN((J$4+6),IF($G8="",(J$4+6),$G8)))-YEAR($F8))*12+MONTH(MIN((J$4+6),IF($G8="",(J$4+6),$G8)))-MONTH($F8)-IF(DAY(MIN((J$4+6),IF($G8="",(J$4+6),$G8)))&lt;DAY($F8),1,0))/3)+1,INT(((YEAR(MIN((J$4+6),IF($G8="",(J$4+6),$G8)))-YEAR($F8))*12+MONTH(MIN((J$4+6),IF($G8="",(J$4+6),$G8)))-MONTH($F8)-IF(DAY(MIN((J$4+6),IF($G8="",(J$4+6),$G8)))&lt;DAY($F8),1,0))/12)+1,1))-IF((J$4-1)&lt;$F8,0,CHOOSE(MATCH($E8,{"Weekly","Every 2 weeks","Monthly","Quarterly","Yearly","One-time"},0),INT(((J$4-1)-$F8)/7)+1,INT(((J$4-1)-$F8)/14)+1,((YEAR((J$4-1))-YEAR($F8))*12+MONTH((J$4-1))-MONTH($F8)-IF(DAY((J$4-1))&lt;DAY($F8),1,0))+1,INT(((YEAR((J$4-1))-YEAR($F8))*12+MONTH((J$4-1))-MONTH($F8)-IF(DAY((J$4-1))&lt;DAY($F8),1,0))/3)+1,INT(((YEAR((J$4-1))-YEAR($F8))*12+MONTH((J$4-1))-MONTH($F8)-IF(DAY((J$4-1))&lt;DAY($F8),1,0))/12)+1,1))),0)*$D8)</f>
        <v>650</v>
      </c>
      <c r="K8" s="49" t="n">
        <f aca="false">IF(OR($A8="",$D8="",$E8="",$F8=""),0,IFERROR(MAX(0,IF(MIN((K$4+6),IF($G8="",(K$4+6),$G8))&lt;$F8,0,CHOOSE(MATCH($E8,{"Weekly","Every 2 weeks","Monthly","Quarterly","Yearly","One-time"},0),INT((MIN((K$4+6),IF($G8="",(K$4+6),$G8))-$F8)/7)+1,INT((MIN((K$4+6),IF($G8="",(K$4+6),$G8))-$F8)/14)+1,((YEAR(MIN((K$4+6),IF($G8="",(K$4+6),$G8)))-YEAR($F8))*12+MONTH(MIN((K$4+6),IF($G8="",(K$4+6),$G8)))-MONTH($F8)-IF(DAY(MIN((K$4+6),IF($G8="",(K$4+6),$G8)))&lt;DAY($F8),1,0))+1,INT(((YEAR(MIN((K$4+6),IF($G8="",(K$4+6),$G8)))-YEAR($F8))*12+MONTH(MIN((K$4+6),IF($G8="",(K$4+6),$G8)))-MONTH($F8)-IF(DAY(MIN((K$4+6),IF($G8="",(K$4+6),$G8)))&lt;DAY($F8),1,0))/3)+1,INT(((YEAR(MIN((K$4+6),IF($G8="",(K$4+6),$G8)))-YEAR($F8))*12+MONTH(MIN((K$4+6),IF($G8="",(K$4+6),$G8)))-MONTH($F8)-IF(DAY(MIN((K$4+6),IF($G8="",(K$4+6),$G8)))&lt;DAY($F8),1,0))/12)+1,1))-IF((K$4-1)&lt;$F8,0,CHOOSE(MATCH($E8,{"Weekly","Every 2 weeks","Monthly","Quarterly","Yearly","One-time"},0),INT(((K$4-1)-$F8)/7)+1,INT(((K$4-1)-$F8)/14)+1,((YEAR((K$4-1))-YEAR($F8))*12+MONTH((K$4-1))-MONTH($F8)-IF(DAY((K$4-1))&lt;DAY($F8),1,0))+1,INT(((YEAR((K$4-1))-YEAR($F8))*12+MONTH((K$4-1))-MONTH($F8)-IF(DAY((K$4-1))&lt;DAY($F8),1,0))/3)+1,INT(((YEAR((K$4-1))-YEAR($F8))*12+MONTH((K$4-1))-MONTH($F8)-IF(DAY((K$4-1))&lt;DAY($F8),1,0))/12)+1,1))),0)*$D8)</f>
        <v>0</v>
      </c>
      <c r="L8" s="49" t="n">
        <f aca="false">IF(OR($A8="",$D8="",$E8="",$F8=""),0,IFERROR(MAX(0,IF(MIN((L$4+6),IF($G8="",(L$4+6),$G8))&lt;$F8,0,CHOOSE(MATCH($E8,{"Weekly","Every 2 weeks","Monthly","Quarterly","Yearly","One-time"},0),INT((MIN((L$4+6),IF($G8="",(L$4+6),$G8))-$F8)/7)+1,INT((MIN((L$4+6),IF($G8="",(L$4+6),$G8))-$F8)/14)+1,((YEAR(MIN((L$4+6),IF($G8="",(L$4+6),$G8)))-YEAR($F8))*12+MONTH(MIN((L$4+6),IF($G8="",(L$4+6),$G8)))-MONTH($F8)-IF(DAY(MIN((L$4+6),IF($G8="",(L$4+6),$G8)))&lt;DAY($F8),1,0))+1,INT(((YEAR(MIN((L$4+6),IF($G8="",(L$4+6),$G8)))-YEAR($F8))*12+MONTH(MIN((L$4+6),IF($G8="",(L$4+6),$G8)))-MONTH($F8)-IF(DAY(MIN((L$4+6),IF($G8="",(L$4+6),$G8)))&lt;DAY($F8),1,0))/3)+1,INT(((YEAR(MIN((L$4+6),IF($G8="",(L$4+6),$G8)))-YEAR($F8))*12+MONTH(MIN((L$4+6),IF($G8="",(L$4+6),$G8)))-MONTH($F8)-IF(DAY(MIN((L$4+6),IF($G8="",(L$4+6),$G8)))&lt;DAY($F8),1,0))/12)+1,1))-IF((L$4-1)&lt;$F8,0,CHOOSE(MATCH($E8,{"Weekly","Every 2 weeks","Monthly","Quarterly","Yearly","One-time"},0),INT(((L$4-1)-$F8)/7)+1,INT(((L$4-1)-$F8)/14)+1,((YEAR((L$4-1))-YEAR($F8))*12+MONTH((L$4-1))-MONTH($F8)-IF(DAY((L$4-1))&lt;DAY($F8),1,0))+1,INT(((YEAR((L$4-1))-YEAR($F8))*12+MONTH((L$4-1))-MONTH($F8)-IF(DAY((L$4-1))&lt;DAY($F8),1,0))/3)+1,INT(((YEAR((L$4-1))-YEAR($F8))*12+MONTH((L$4-1))-MONTH($F8)-IF(DAY((L$4-1))&lt;DAY($F8),1,0))/12)+1,1))),0)*$D8)</f>
        <v>0</v>
      </c>
      <c r="M8" s="50"/>
      <c r="N8" s="50"/>
      <c r="O8" s="50"/>
      <c r="P8" s="50"/>
      <c r="Q8" s="50"/>
      <c r="R8" s="50"/>
      <c r="S8" s="50"/>
      <c r="T8" s="50"/>
      <c r="U8" s="50"/>
    </row>
    <row r="9" customFormat="false" ht="15" hidden="false" customHeight="true" outlineLevel="0" collapsed="false">
      <c r="A9" s="46" t="s">
        <v>103</v>
      </c>
      <c r="B9" s="46" t="s">
        <v>37</v>
      </c>
      <c r="C9" s="46" t="s">
        <v>97</v>
      </c>
      <c r="D9" s="47" t="n">
        <v>1150</v>
      </c>
      <c r="E9" s="46" t="s">
        <v>100</v>
      </c>
      <c r="F9" s="48" t="n">
        <v>46331</v>
      </c>
      <c r="G9" s="48"/>
      <c r="I9" s="49" t="n">
        <f aca="false">IF(OR($A9="",$D9="",$E9="",$F9=""),0,IFERROR(MAX(0,IF(MIN((I$4+6),IF($G9="",(I$4+6),$G9))&lt;$F9,0,CHOOSE(MATCH($E9,{"Weekly","Every 2 weeks","Monthly","Quarterly","Yearly","One-time"},0),INT((MIN((I$4+6),IF($G9="",(I$4+6),$G9))-$F9)/7)+1,INT((MIN((I$4+6),IF($G9="",(I$4+6),$G9))-$F9)/14)+1,((YEAR(MIN((I$4+6),IF($G9="",(I$4+6),$G9)))-YEAR($F9))*12+MONTH(MIN((I$4+6),IF($G9="",(I$4+6),$G9)))-MONTH($F9)-IF(DAY(MIN((I$4+6),IF($G9="",(I$4+6),$G9)))&lt;DAY($F9),1,0))+1,INT(((YEAR(MIN((I$4+6),IF($G9="",(I$4+6),$G9)))-YEAR($F9))*12+MONTH(MIN((I$4+6),IF($G9="",(I$4+6),$G9)))-MONTH($F9)-IF(DAY(MIN((I$4+6),IF($G9="",(I$4+6),$G9)))&lt;DAY($F9),1,0))/3)+1,INT(((YEAR(MIN((I$4+6),IF($G9="",(I$4+6),$G9)))-YEAR($F9))*12+MONTH(MIN((I$4+6),IF($G9="",(I$4+6),$G9)))-MONTH($F9)-IF(DAY(MIN((I$4+6),IF($G9="",(I$4+6),$G9)))&lt;DAY($F9),1,0))/12)+1,1))-IF((I$4-1)&lt;$F9,0,CHOOSE(MATCH($E9,{"Weekly","Every 2 weeks","Monthly","Quarterly","Yearly","One-time"},0),INT(((I$4-1)-$F9)/7)+1,INT(((I$4-1)-$F9)/14)+1,((YEAR((I$4-1))-YEAR($F9))*12+MONTH((I$4-1))-MONTH($F9)-IF(DAY((I$4-1))&lt;DAY($F9),1,0))+1,INT(((YEAR((I$4-1))-YEAR($F9))*12+MONTH((I$4-1))-MONTH($F9)-IF(DAY((I$4-1))&lt;DAY($F9),1,0))/3)+1,INT(((YEAR((I$4-1))-YEAR($F9))*12+MONTH((I$4-1))-MONTH($F9)-IF(DAY((I$4-1))&lt;DAY($F9),1,0))/12)+1,1))),0)*$D9)</f>
        <v>1150</v>
      </c>
      <c r="J9" s="49" t="n">
        <f aca="false">IF(OR($A9="",$D9="",$E9="",$F9=""),0,IFERROR(MAX(0,IF(MIN((J$4+6),IF($G9="",(J$4+6),$G9))&lt;$F9,0,CHOOSE(MATCH($E9,{"Weekly","Every 2 weeks","Monthly","Quarterly","Yearly","One-time"},0),INT((MIN((J$4+6),IF($G9="",(J$4+6),$G9))-$F9)/7)+1,INT((MIN((J$4+6),IF($G9="",(J$4+6),$G9))-$F9)/14)+1,((YEAR(MIN((J$4+6),IF($G9="",(J$4+6),$G9)))-YEAR($F9))*12+MONTH(MIN((J$4+6),IF($G9="",(J$4+6),$G9)))-MONTH($F9)-IF(DAY(MIN((J$4+6),IF($G9="",(J$4+6),$G9)))&lt;DAY($F9),1,0))+1,INT(((YEAR(MIN((J$4+6),IF($G9="",(J$4+6),$G9)))-YEAR($F9))*12+MONTH(MIN((J$4+6),IF($G9="",(J$4+6),$G9)))-MONTH($F9)-IF(DAY(MIN((J$4+6),IF($G9="",(J$4+6),$G9)))&lt;DAY($F9),1,0))/3)+1,INT(((YEAR(MIN((J$4+6),IF($G9="",(J$4+6),$G9)))-YEAR($F9))*12+MONTH(MIN((J$4+6),IF($G9="",(J$4+6),$G9)))-MONTH($F9)-IF(DAY(MIN((J$4+6),IF($G9="",(J$4+6),$G9)))&lt;DAY($F9),1,0))/12)+1,1))-IF((J$4-1)&lt;$F9,0,CHOOSE(MATCH($E9,{"Weekly","Every 2 weeks","Monthly","Quarterly","Yearly","One-time"},0),INT(((J$4-1)-$F9)/7)+1,INT(((J$4-1)-$F9)/14)+1,((YEAR((J$4-1))-YEAR($F9))*12+MONTH((J$4-1))-MONTH($F9)-IF(DAY((J$4-1))&lt;DAY($F9),1,0))+1,INT(((YEAR((J$4-1))-YEAR($F9))*12+MONTH((J$4-1))-MONTH($F9)-IF(DAY((J$4-1))&lt;DAY($F9),1,0))/3)+1,INT(((YEAR((J$4-1))-YEAR($F9))*12+MONTH((J$4-1))-MONTH($F9)-IF(DAY((J$4-1))&lt;DAY($F9),1,0))/12)+1,1))),0)*$D9)</f>
        <v>0</v>
      </c>
      <c r="K9" s="49" t="n">
        <f aca="false">IF(OR($A9="",$D9="",$E9="",$F9=""),0,IFERROR(MAX(0,IF(MIN((K$4+6),IF($G9="",(K$4+6),$G9))&lt;$F9,0,CHOOSE(MATCH($E9,{"Weekly","Every 2 weeks","Monthly","Quarterly","Yearly","One-time"},0),INT((MIN((K$4+6),IF($G9="",(K$4+6),$G9))-$F9)/7)+1,INT((MIN((K$4+6),IF($G9="",(K$4+6),$G9))-$F9)/14)+1,((YEAR(MIN((K$4+6),IF($G9="",(K$4+6),$G9)))-YEAR($F9))*12+MONTH(MIN((K$4+6),IF($G9="",(K$4+6),$G9)))-MONTH($F9)-IF(DAY(MIN((K$4+6),IF($G9="",(K$4+6),$G9)))&lt;DAY($F9),1,0))+1,INT(((YEAR(MIN((K$4+6),IF($G9="",(K$4+6),$G9)))-YEAR($F9))*12+MONTH(MIN((K$4+6),IF($G9="",(K$4+6),$G9)))-MONTH($F9)-IF(DAY(MIN((K$4+6),IF($G9="",(K$4+6),$G9)))&lt;DAY($F9),1,0))/3)+1,INT(((YEAR(MIN((K$4+6),IF($G9="",(K$4+6),$G9)))-YEAR($F9))*12+MONTH(MIN((K$4+6),IF($G9="",(K$4+6),$G9)))-MONTH($F9)-IF(DAY(MIN((K$4+6),IF($G9="",(K$4+6),$G9)))&lt;DAY($F9),1,0))/12)+1,1))-IF((K$4-1)&lt;$F9,0,CHOOSE(MATCH($E9,{"Weekly","Every 2 weeks","Monthly","Quarterly","Yearly","One-time"},0),INT(((K$4-1)-$F9)/7)+1,INT(((K$4-1)-$F9)/14)+1,((YEAR((K$4-1))-YEAR($F9))*12+MONTH((K$4-1))-MONTH($F9)-IF(DAY((K$4-1))&lt;DAY($F9),1,0))+1,INT(((YEAR((K$4-1))-YEAR($F9))*12+MONTH((K$4-1))-MONTH($F9)-IF(DAY((K$4-1))&lt;DAY($F9),1,0))/3)+1,INT(((YEAR((K$4-1))-YEAR($F9))*12+MONTH((K$4-1))-MONTH($F9)-IF(DAY((K$4-1))&lt;DAY($F9),1,0))/12)+1,1))),0)*$D9)</f>
        <v>0</v>
      </c>
      <c r="L9" s="49" t="n">
        <f aca="false">IF(OR($A9="",$D9="",$E9="",$F9=""),0,IFERROR(MAX(0,IF(MIN((L$4+6),IF($G9="",(L$4+6),$G9))&lt;$F9,0,CHOOSE(MATCH($E9,{"Weekly","Every 2 weeks","Monthly","Quarterly","Yearly","One-time"},0),INT((MIN((L$4+6),IF($G9="",(L$4+6),$G9))-$F9)/7)+1,INT((MIN((L$4+6),IF($G9="",(L$4+6),$G9))-$F9)/14)+1,((YEAR(MIN((L$4+6),IF($G9="",(L$4+6),$G9)))-YEAR($F9))*12+MONTH(MIN((L$4+6),IF($G9="",(L$4+6),$G9)))-MONTH($F9)-IF(DAY(MIN((L$4+6),IF($G9="",(L$4+6),$G9)))&lt;DAY($F9),1,0))+1,INT(((YEAR(MIN((L$4+6),IF($G9="",(L$4+6),$G9)))-YEAR($F9))*12+MONTH(MIN((L$4+6),IF($G9="",(L$4+6),$G9)))-MONTH($F9)-IF(DAY(MIN((L$4+6),IF($G9="",(L$4+6),$G9)))&lt;DAY($F9),1,0))/3)+1,INT(((YEAR(MIN((L$4+6),IF($G9="",(L$4+6),$G9)))-YEAR($F9))*12+MONTH(MIN((L$4+6),IF($G9="",(L$4+6),$G9)))-MONTH($F9)-IF(DAY(MIN((L$4+6),IF($G9="",(L$4+6),$G9)))&lt;DAY($F9),1,0))/12)+1,1))-IF((L$4-1)&lt;$F9,0,CHOOSE(MATCH($E9,{"Weekly","Every 2 weeks","Monthly","Quarterly","Yearly","One-time"},0),INT(((L$4-1)-$F9)/7)+1,INT(((L$4-1)-$F9)/14)+1,((YEAR((L$4-1))-YEAR($F9))*12+MONTH((L$4-1))-MONTH($F9)-IF(DAY((L$4-1))&lt;DAY($F9),1,0))+1,INT(((YEAR((L$4-1))-YEAR($F9))*12+MONTH((L$4-1))-MONTH($F9)-IF(DAY((L$4-1))&lt;DAY($F9),1,0))/3)+1,INT(((YEAR((L$4-1))-YEAR($F9))*12+MONTH((L$4-1))-MONTH($F9)-IF(DAY((L$4-1))&lt;DAY($F9),1,0))/12)+1,1))),0)*$D9)</f>
        <v>0</v>
      </c>
      <c r="M9" s="50"/>
      <c r="N9" s="50"/>
      <c r="O9" s="50"/>
      <c r="P9" s="50"/>
      <c r="Q9" s="50"/>
      <c r="R9" s="50"/>
      <c r="S9" s="50"/>
      <c r="T9" s="50"/>
      <c r="U9" s="50"/>
    </row>
    <row r="10" customFormat="false" ht="15" hidden="false" customHeight="true" outlineLevel="0" collapsed="false">
      <c r="A10" s="46" t="s">
        <v>104</v>
      </c>
      <c r="B10" s="46" t="s">
        <v>38</v>
      </c>
      <c r="C10" s="46" t="s">
        <v>97</v>
      </c>
      <c r="D10" s="47" t="n">
        <v>2500</v>
      </c>
      <c r="E10" s="46" t="s">
        <v>100</v>
      </c>
      <c r="F10" s="48" t="n">
        <v>46338</v>
      </c>
      <c r="G10" s="48"/>
      <c r="I10" s="49" t="n">
        <f aca="false">IF(OR($A10="",$D10="",$E10="",$F10=""),0,IFERROR(MAX(0,IF(MIN((I$4+6),IF($G10="",(I$4+6),$G10))&lt;$F10,0,CHOOSE(MATCH($E10,{"Weekly","Every 2 weeks","Monthly","Quarterly","Yearly","One-time"},0),INT((MIN((I$4+6),IF($G10="",(I$4+6),$G10))-$F10)/7)+1,INT((MIN((I$4+6),IF($G10="",(I$4+6),$G10))-$F10)/14)+1,((YEAR(MIN((I$4+6),IF($G10="",(I$4+6),$G10)))-YEAR($F10))*12+MONTH(MIN((I$4+6),IF($G10="",(I$4+6),$G10)))-MONTH($F10)-IF(DAY(MIN((I$4+6),IF($G10="",(I$4+6),$G10)))&lt;DAY($F10),1,0))+1,INT(((YEAR(MIN((I$4+6),IF($G10="",(I$4+6),$G10)))-YEAR($F10))*12+MONTH(MIN((I$4+6),IF($G10="",(I$4+6),$G10)))-MONTH($F10)-IF(DAY(MIN((I$4+6),IF($G10="",(I$4+6),$G10)))&lt;DAY($F10),1,0))/3)+1,INT(((YEAR(MIN((I$4+6),IF($G10="",(I$4+6),$G10)))-YEAR($F10))*12+MONTH(MIN((I$4+6),IF($G10="",(I$4+6),$G10)))-MONTH($F10)-IF(DAY(MIN((I$4+6),IF($G10="",(I$4+6),$G10)))&lt;DAY($F10),1,0))/12)+1,1))-IF((I$4-1)&lt;$F10,0,CHOOSE(MATCH($E10,{"Weekly","Every 2 weeks","Monthly","Quarterly","Yearly","One-time"},0),INT(((I$4-1)-$F10)/7)+1,INT(((I$4-1)-$F10)/14)+1,((YEAR((I$4-1))-YEAR($F10))*12+MONTH((I$4-1))-MONTH($F10)-IF(DAY((I$4-1))&lt;DAY($F10),1,0))+1,INT(((YEAR((I$4-1))-YEAR($F10))*12+MONTH((I$4-1))-MONTH($F10)-IF(DAY((I$4-1))&lt;DAY($F10),1,0))/3)+1,INT(((YEAR((I$4-1))-YEAR($F10))*12+MONTH((I$4-1))-MONTH($F10)-IF(DAY((I$4-1))&lt;DAY($F10),1,0))/12)+1,1))),0)*$D10)</f>
        <v>0</v>
      </c>
      <c r="J10" s="49" t="n">
        <f aca="false">IF(OR($A10="",$D10="",$E10="",$F10=""),0,IFERROR(MAX(0,IF(MIN((J$4+6),IF($G10="",(J$4+6),$G10))&lt;$F10,0,CHOOSE(MATCH($E10,{"Weekly","Every 2 weeks","Monthly","Quarterly","Yearly","One-time"},0),INT((MIN((J$4+6),IF($G10="",(J$4+6),$G10))-$F10)/7)+1,INT((MIN((J$4+6),IF($G10="",(J$4+6),$G10))-$F10)/14)+1,((YEAR(MIN((J$4+6),IF($G10="",(J$4+6),$G10)))-YEAR($F10))*12+MONTH(MIN((J$4+6),IF($G10="",(J$4+6),$G10)))-MONTH($F10)-IF(DAY(MIN((J$4+6),IF($G10="",(J$4+6),$G10)))&lt;DAY($F10),1,0))+1,INT(((YEAR(MIN((J$4+6),IF($G10="",(J$4+6),$G10)))-YEAR($F10))*12+MONTH(MIN((J$4+6),IF($G10="",(J$4+6),$G10)))-MONTH($F10)-IF(DAY(MIN((J$4+6),IF($G10="",(J$4+6),$G10)))&lt;DAY($F10),1,0))/3)+1,INT(((YEAR(MIN((J$4+6),IF($G10="",(J$4+6),$G10)))-YEAR($F10))*12+MONTH(MIN((J$4+6),IF($G10="",(J$4+6),$G10)))-MONTH($F10)-IF(DAY(MIN((J$4+6),IF($G10="",(J$4+6),$G10)))&lt;DAY($F10),1,0))/12)+1,1))-IF((J$4-1)&lt;$F10,0,CHOOSE(MATCH($E10,{"Weekly","Every 2 weeks","Monthly","Quarterly","Yearly","One-time"},0),INT(((J$4-1)-$F10)/7)+1,INT(((J$4-1)-$F10)/14)+1,((YEAR((J$4-1))-YEAR($F10))*12+MONTH((J$4-1))-MONTH($F10)-IF(DAY((J$4-1))&lt;DAY($F10),1,0))+1,INT(((YEAR((J$4-1))-YEAR($F10))*12+MONTH((J$4-1))-MONTH($F10)-IF(DAY((J$4-1))&lt;DAY($F10),1,0))/3)+1,INT(((YEAR((J$4-1))-YEAR($F10))*12+MONTH((J$4-1))-MONTH($F10)-IF(DAY((J$4-1))&lt;DAY($F10),1,0))/12)+1,1))),0)*$D10)</f>
        <v>2500</v>
      </c>
      <c r="K10" s="49" t="n">
        <f aca="false">IF(OR($A10="",$D10="",$E10="",$F10=""),0,IFERROR(MAX(0,IF(MIN((K$4+6),IF($G10="",(K$4+6),$G10))&lt;$F10,0,CHOOSE(MATCH($E10,{"Weekly","Every 2 weeks","Monthly","Quarterly","Yearly","One-time"},0),INT((MIN((K$4+6),IF($G10="",(K$4+6),$G10))-$F10)/7)+1,INT((MIN((K$4+6),IF($G10="",(K$4+6),$G10))-$F10)/14)+1,((YEAR(MIN((K$4+6),IF($G10="",(K$4+6),$G10)))-YEAR($F10))*12+MONTH(MIN((K$4+6),IF($G10="",(K$4+6),$G10)))-MONTH($F10)-IF(DAY(MIN((K$4+6),IF($G10="",(K$4+6),$G10)))&lt;DAY($F10),1,0))+1,INT(((YEAR(MIN((K$4+6),IF($G10="",(K$4+6),$G10)))-YEAR($F10))*12+MONTH(MIN((K$4+6),IF($G10="",(K$4+6),$G10)))-MONTH($F10)-IF(DAY(MIN((K$4+6),IF($G10="",(K$4+6),$G10)))&lt;DAY($F10),1,0))/3)+1,INT(((YEAR(MIN((K$4+6),IF($G10="",(K$4+6),$G10)))-YEAR($F10))*12+MONTH(MIN((K$4+6),IF($G10="",(K$4+6),$G10)))-MONTH($F10)-IF(DAY(MIN((K$4+6),IF($G10="",(K$4+6),$G10)))&lt;DAY($F10),1,0))/12)+1,1))-IF((K$4-1)&lt;$F10,0,CHOOSE(MATCH($E10,{"Weekly","Every 2 weeks","Monthly","Quarterly","Yearly","One-time"},0),INT(((K$4-1)-$F10)/7)+1,INT(((K$4-1)-$F10)/14)+1,((YEAR((K$4-1))-YEAR($F10))*12+MONTH((K$4-1))-MONTH($F10)-IF(DAY((K$4-1))&lt;DAY($F10),1,0))+1,INT(((YEAR((K$4-1))-YEAR($F10))*12+MONTH((K$4-1))-MONTH($F10)-IF(DAY((K$4-1))&lt;DAY($F10),1,0))/3)+1,INT(((YEAR((K$4-1))-YEAR($F10))*12+MONTH((K$4-1))-MONTH($F10)-IF(DAY((K$4-1))&lt;DAY($F10),1,0))/12)+1,1))),0)*$D10)</f>
        <v>0</v>
      </c>
      <c r="L10" s="49" t="n">
        <f aca="false">IF(OR($A10="",$D10="",$E10="",$F10=""),0,IFERROR(MAX(0,IF(MIN((L$4+6),IF($G10="",(L$4+6),$G10))&lt;$F10,0,CHOOSE(MATCH($E10,{"Weekly","Every 2 weeks","Monthly","Quarterly","Yearly","One-time"},0),INT((MIN((L$4+6),IF($G10="",(L$4+6),$G10))-$F10)/7)+1,INT((MIN((L$4+6),IF($G10="",(L$4+6),$G10))-$F10)/14)+1,((YEAR(MIN((L$4+6),IF($G10="",(L$4+6),$G10)))-YEAR($F10))*12+MONTH(MIN((L$4+6),IF($G10="",(L$4+6),$G10)))-MONTH($F10)-IF(DAY(MIN((L$4+6),IF($G10="",(L$4+6),$G10)))&lt;DAY($F10),1,0))+1,INT(((YEAR(MIN((L$4+6),IF($G10="",(L$4+6),$G10)))-YEAR($F10))*12+MONTH(MIN((L$4+6),IF($G10="",(L$4+6),$G10)))-MONTH($F10)-IF(DAY(MIN((L$4+6),IF($G10="",(L$4+6),$G10)))&lt;DAY($F10),1,0))/3)+1,INT(((YEAR(MIN((L$4+6),IF($G10="",(L$4+6),$G10)))-YEAR($F10))*12+MONTH(MIN((L$4+6),IF($G10="",(L$4+6),$G10)))-MONTH($F10)-IF(DAY(MIN((L$4+6),IF($G10="",(L$4+6),$G10)))&lt;DAY($F10),1,0))/12)+1,1))-IF((L$4-1)&lt;$F10,0,CHOOSE(MATCH($E10,{"Weekly","Every 2 weeks","Monthly","Quarterly","Yearly","One-time"},0),INT(((L$4-1)-$F10)/7)+1,INT(((L$4-1)-$F10)/14)+1,((YEAR((L$4-1))-YEAR($F10))*12+MONTH((L$4-1))-MONTH($F10)-IF(DAY((L$4-1))&lt;DAY($F10),1,0))+1,INT(((YEAR((L$4-1))-YEAR($F10))*12+MONTH((L$4-1))-MONTH($F10)-IF(DAY((L$4-1))&lt;DAY($F10),1,0))/3)+1,INT(((YEAR((L$4-1))-YEAR($F10))*12+MONTH((L$4-1))-MONTH($F10)-IF(DAY((L$4-1))&lt;DAY($F10),1,0))/12)+1,1))),0)*$D10)</f>
        <v>0</v>
      </c>
      <c r="M10" s="50"/>
      <c r="N10" s="50"/>
      <c r="O10" s="50"/>
      <c r="P10" s="50"/>
      <c r="Q10" s="50"/>
      <c r="R10" s="50"/>
      <c r="S10" s="50"/>
      <c r="T10" s="50"/>
      <c r="U10" s="50"/>
    </row>
    <row r="11" customFormat="false" ht="15" hidden="false" customHeight="true" outlineLevel="0" collapsed="false">
      <c r="A11" s="46" t="s">
        <v>105</v>
      </c>
      <c r="B11" s="46" t="s">
        <v>39</v>
      </c>
      <c r="C11" s="46" t="s">
        <v>97</v>
      </c>
      <c r="D11" s="47" t="n">
        <v>1380</v>
      </c>
      <c r="E11" s="46" t="s">
        <v>100</v>
      </c>
      <c r="F11" s="48" t="n">
        <v>46346</v>
      </c>
      <c r="G11" s="48"/>
      <c r="I11" s="49" t="n">
        <f aca="false">IF(OR($A11="",$D11="",$E11="",$F11=""),0,IFERROR(MAX(0,IF(MIN((I$4+6),IF($G11="",(I$4+6),$G11))&lt;$F11,0,CHOOSE(MATCH($E11,{"Weekly","Every 2 weeks","Monthly","Quarterly","Yearly","One-time"},0),INT((MIN((I$4+6),IF($G11="",(I$4+6),$G11))-$F11)/7)+1,INT((MIN((I$4+6),IF($G11="",(I$4+6),$G11))-$F11)/14)+1,((YEAR(MIN((I$4+6),IF($G11="",(I$4+6),$G11)))-YEAR($F11))*12+MONTH(MIN((I$4+6),IF($G11="",(I$4+6),$G11)))-MONTH($F11)-IF(DAY(MIN((I$4+6),IF($G11="",(I$4+6),$G11)))&lt;DAY($F11),1,0))+1,INT(((YEAR(MIN((I$4+6),IF($G11="",(I$4+6),$G11)))-YEAR($F11))*12+MONTH(MIN((I$4+6),IF($G11="",(I$4+6),$G11)))-MONTH($F11)-IF(DAY(MIN((I$4+6),IF($G11="",(I$4+6),$G11)))&lt;DAY($F11),1,0))/3)+1,INT(((YEAR(MIN((I$4+6),IF($G11="",(I$4+6),$G11)))-YEAR($F11))*12+MONTH(MIN((I$4+6),IF($G11="",(I$4+6),$G11)))-MONTH($F11)-IF(DAY(MIN((I$4+6),IF($G11="",(I$4+6),$G11)))&lt;DAY($F11),1,0))/12)+1,1))-IF((I$4-1)&lt;$F11,0,CHOOSE(MATCH($E11,{"Weekly","Every 2 weeks","Monthly","Quarterly","Yearly","One-time"},0),INT(((I$4-1)-$F11)/7)+1,INT(((I$4-1)-$F11)/14)+1,((YEAR((I$4-1))-YEAR($F11))*12+MONTH((I$4-1))-MONTH($F11)-IF(DAY((I$4-1))&lt;DAY($F11),1,0))+1,INT(((YEAR((I$4-1))-YEAR($F11))*12+MONTH((I$4-1))-MONTH($F11)-IF(DAY((I$4-1))&lt;DAY($F11),1,0))/3)+1,INT(((YEAR((I$4-1))-YEAR($F11))*12+MONTH((I$4-1))-MONTH($F11)-IF(DAY((I$4-1))&lt;DAY($F11),1,0))/12)+1,1))),0)*$D11)</f>
        <v>0</v>
      </c>
      <c r="J11" s="49" t="n">
        <f aca="false">IF(OR($A11="",$D11="",$E11="",$F11=""),0,IFERROR(MAX(0,IF(MIN((J$4+6),IF($G11="",(J$4+6),$G11))&lt;$F11,0,CHOOSE(MATCH($E11,{"Weekly","Every 2 weeks","Monthly","Quarterly","Yearly","One-time"},0),INT((MIN((J$4+6),IF($G11="",(J$4+6),$G11))-$F11)/7)+1,INT((MIN((J$4+6),IF($G11="",(J$4+6),$G11))-$F11)/14)+1,((YEAR(MIN((J$4+6),IF($G11="",(J$4+6),$G11)))-YEAR($F11))*12+MONTH(MIN((J$4+6),IF($G11="",(J$4+6),$G11)))-MONTH($F11)-IF(DAY(MIN((J$4+6),IF($G11="",(J$4+6),$G11)))&lt;DAY($F11),1,0))+1,INT(((YEAR(MIN((J$4+6),IF($G11="",(J$4+6),$G11)))-YEAR($F11))*12+MONTH(MIN((J$4+6),IF($G11="",(J$4+6),$G11)))-MONTH($F11)-IF(DAY(MIN((J$4+6),IF($G11="",(J$4+6),$G11)))&lt;DAY($F11),1,0))/3)+1,INT(((YEAR(MIN((J$4+6),IF($G11="",(J$4+6),$G11)))-YEAR($F11))*12+MONTH(MIN((J$4+6),IF($G11="",(J$4+6),$G11)))-MONTH($F11)-IF(DAY(MIN((J$4+6),IF($G11="",(J$4+6),$G11)))&lt;DAY($F11),1,0))/12)+1,1))-IF((J$4-1)&lt;$F11,0,CHOOSE(MATCH($E11,{"Weekly","Every 2 weeks","Monthly","Quarterly","Yearly","One-time"},0),INT(((J$4-1)-$F11)/7)+1,INT(((J$4-1)-$F11)/14)+1,((YEAR((J$4-1))-YEAR($F11))*12+MONTH((J$4-1))-MONTH($F11)-IF(DAY((J$4-1))&lt;DAY($F11),1,0))+1,INT(((YEAR((J$4-1))-YEAR($F11))*12+MONTH((J$4-1))-MONTH($F11)-IF(DAY((J$4-1))&lt;DAY($F11),1,0))/3)+1,INT(((YEAR((J$4-1))-YEAR($F11))*12+MONTH((J$4-1))-MONTH($F11)-IF(DAY((J$4-1))&lt;DAY($F11),1,0))/12)+1,1))),0)*$D11)</f>
        <v>0</v>
      </c>
      <c r="K11" s="49" t="n">
        <f aca="false">IF(OR($A11="",$D11="",$E11="",$F11=""),0,IFERROR(MAX(0,IF(MIN((K$4+6),IF($G11="",(K$4+6),$G11))&lt;$F11,0,CHOOSE(MATCH($E11,{"Weekly","Every 2 weeks","Monthly","Quarterly","Yearly","One-time"},0),INT((MIN((K$4+6),IF($G11="",(K$4+6),$G11))-$F11)/7)+1,INT((MIN((K$4+6),IF($G11="",(K$4+6),$G11))-$F11)/14)+1,((YEAR(MIN((K$4+6),IF($G11="",(K$4+6),$G11)))-YEAR($F11))*12+MONTH(MIN((K$4+6),IF($G11="",(K$4+6),$G11)))-MONTH($F11)-IF(DAY(MIN((K$4+6),IF($G11="",(K$4+6),$G11)))&lt;DAY($F11),1,0))+1,INT(((YEAR(MIN((K$4+6),IF($G11="",(K$4+6),$G11)))-YEAR($F11))*12+MONTH(MIN((K$4+6),IF($G11="",(K$4+6),$G11)))-MONTH($F11)-IF(DAY(MIN((K$4+6),IF($G11="",(K$4+6),$G11)))&lt;DAY($F11),1,0))/3)+1,INT(((YEAR(MIN((K$4+6),IF($G11="",(K$4+6),$G11)))-YEAR($F11))*12+MONTH(MIN((K$4+6),IF($G11="",(K$4+6),$G11)))-MONTH($F11)-IF(DAY(MIN((K$4+6),IF($G11="",(K$4+6),$G11)))&lt;DAY($F11),1,0))/12)+1,1))-IF((K$4-1)&lt;$F11,0,CHOOSE(MATCH($E11,{"Weekly","Every 2 weeks","Monthly","Quarterly","Yearly","One-time"},0),INT(((K$4-1)-$F11)/7)+1,INT(((K$4-1)-$F11)/14)+1,((YEAR((K$4-1))-YEAR($F11))*12+MONTH((K$4-1))-MONTH($F11)-IF(DAY((K$4-1))&lt;DAY($F11),1,0))+1,INT(((YEAR((K$4-1))-YEAR($F11))*12+MONTH((K$4-1))-MONTH($F11)-IF(DAY((K$4-1))&lt;DAY($F11),1,0))/3)+1,INT(((YEAR((K$4-1))-YEAR($F11))*12+MONTH((K$4-1))-MONTH($F11)-IF(DAY((K$4-1))&lt;DAY($F11),1,0))/12)+1,1))),0)*$D11)</f>
        <v>1380</v>
      </c>
      <c r="L11" s="49" t="n">
        <f aca="false">IF(OR($A11="",$D11="",$E11="",$F11=""),0,IFERROR(MAX(0,IF(MIN((L$4+6),IF($G11="",(L$4+6),$G11))&lt;$F11,0,CHOOSE(MATCH($E11,{"Weekly","Every 2 weeks","Monthly","Quarterly","Yearly","One-time"},0),INT((MIN((L$4+6),IF($G11="",(L$4+6),$G11))-$F11)/7)+1,INT((MIN((L$4+6),IF($G11="",(L$4+6),$G11))-$F11)/14)+1,((YEAR(MIN((L$4+6),IF($G11="",(L$4+6),$G11)))-YEAR($F11))*12+MONTH(MIN((L$4+6),IF($G11="",(L$4+6),$G11)))-MONTH($F11)-IF(DAY(MIN((L$4+6),IF($G11="",(L$4+6),$G11)))&lt;DAY($F11),1,0))+1,INT(((YEAR(MIN((L$4+6),IF($G11="",(L$4+6),$G11)))-YEAR($F11))*12+MONTH(MIN((L$4+6),IF($G11="",(L$4+6),$G11)))-MONTH($F11)-IF(DAY(MIN((L$4+6),IF($G11="",(L$4+6),$G11)))&lt;DAY($F11),1,0))/3)+1,INT(((YEAR(MIN((L$4+6),IF($G11="",(L$4+6),$G11)))-YEAR($F11))*12+MONTH(MIN((L$4+6),IF($G11="",(L$4+6),$G11)))-MONTH($F11)-IF(DAY(MIN((L$4+6),IF($G11="",(L$4+6),$G11)))&lt;DAY($F11),1,0))/12)+1,1))-IF((L$4-1)&lt;$F11,0,CHOOSE(MATCH($E11,{"Weekly","Every 2 weeks","Monthly","Quarterly","Yearly","One-time"},0),INT(((L$4-1)-$F11)/7)+1,INT(((L$4-1)-$F11)/14)+1,((YEAR((L$4-1))-YEAR($F11))*12+MONTH((L$4-1))-MONTH($F11)-IF(DAY((L$4-1))&lt;DAY($F11),1,0))+1,INT(((YEAR((L$4-1))-YEAR($F11))*12+MONTH((L$4-1))-MONTH($F11)-IF(DAY((L$4-1))&lt;DAY($F11),1,0))/3)+1,INT(((YEAR((L$4-1))-YEAR($F11))*12+MONTH((L$4-1))-MONTH($F11)-IF(DAY((L$4-1))&lt;DAY($F11),1,0))/12)+1,1))),0)*$D11)</f>
        <v>0</v>
      </c>
      <c r="M11" s="50"/>
      <c r="N11" s="50"/>
      <c r="O11" s="50"/>
      <c r="P11" s="50"/>
      <c r="Q11" s="50"/>
      <c r="R11" s="50"/>
      <c r="S11" s="50"/>
      <c r="T11" s="50"/>
      <c r="U11" s="50"/>
    </row>
    <row r="12" customFormat="false" ht="15" hidden="false" customHeight="true" outlineLevel="0" collapsed="false">
      <c r="A12" s="46" t="s">
        <v>106</v>
      </c>
      <c r="B12" s="46" t="s">
        <v>40</v>
      </c>
      <c r="C12" s="46" t="s">
        <v>97</v>
      </c>
      <c r="D12" s="47" t="n">
        <v>9000</v>
      </c>
      <c r="E12" s="46" t="s">
        <v>107</v>
      </c>
      <c r="F12" s="48" t="n">
        <v>46371</v>
      </c>
      <c r="G12" s="48"/>
      <c r="I12" s="49" t="n">
        <f aca="false">IF(OR($A12="",$D12="",$E12="",$F12=""),0,IFERROR(MAX(0,IF(MIN((I$4+6),IF($G12="",(I$4+6),$G12))&lt;$F12,0,CHOOSE(MATCH($E12,{"Weekly","Every 2 weeks","Monthly","Quarterly","Yearly","One-time"},0),INT((MIN((I$4+6),IF($G12="",(I$4+6),$G12))-$F12)/7)+1,INT((MIN((I$4+6),IF($G12="",(I$4+6),$G12))-$F12)/14)+1,((YEAR(MIN((I$4+6),IF($G12="",(I$4+6),$G12)))-YEAR($F12))*12+MONTH(MIN((I$4+6),IF($G12="",(I$4+6),$G12)))-MONTH($F12)-IF(DAY(MIN((I$4+6),IF($G12="",(I$4+6),$G12)))&lt;DAY($F12),1,0))+1,INT(((YEAR(MIN((I$4+6),IF($G12="",(I$4+6),$G12)))-YEAR($F12))*12+MONTH(MIN((I$4+6),IF($G12="",(I$4+6),$G12)))-MONTH($F12)-IF(DAY(MIN((I$4+6),IF($G12="",(I$4+6),$G12)))&lt;DAY($F12),1,0))/3)+1,INT(((YEAR(MIN((I$4+6),IF($G12="",(I$4+6),$G12)))-YEAR($F12))*12+MONTH(MIN((I$4+6),IF($G12="",(I$4+6),$G12)))-MONTH($F12)-IF(DAY(MIN((I$4+6),IF($G12="",(I$4+6),$G12)))&lt;DAY($F12),1,0))/12)+1,1))-IF((I$4-1)&lt;$F12,0,CHOOSE(MATCH($E12,{"Weekly","Every 2 weeks","Monthly","Quarterly","Yearly","One-time"},0),INT(((I$4-1)-$F12)/7)+1,INT(((I$4-1)-$F12)/14)+1,((YEAR((I$4-1))-YEAR($F12))*12+MONTH((I$4-1))-MONTH($F12)-IF(DAY((I$4-1))&lt;DAY($F12),1,0))+1,INT(((YEAR((I$4-1))-YEAR($F12))*12+MONTH((I$4-1))-MONTH($F12)-IF(DAY((I$4-1))&lt;DAY($F12),1,0))/3)+1,INT(((YEAR((I$4-1))-YEAR($F12))*12+MONTH((I$4-1))-MONTH($F12)-IF(DAY((I$4-1))&lt;DAY($F12),1,0))/12)+1,1))),0)*$D12)</f>
        <v>0</v>
      </c>
      <c r="J12" s="49" t="n">
        <f aca="false">IF(OR($A12="",$D12="",$E12="",$F12=""),0,IFERROR(MAX(0,IF(MIN((J$4+6),IF($G12="",(J$4+6),$G12))&lt;$F12,0,CHOOSE(MATCH($E12,{"Weekly","Every 2 weeks","Monthly","Quarterly","Yearly","One-time"},0),INT((MIN((J$4+6),IF($G12="",(J$4+6),$G12))-$F12)/7)+1,INT((MIN((J$4+6),IF($G12="",(J$4+6),$G12))-$F12)/14)+1,((YEAR(MIN((J$4+6),IF($G12="",(J$4+6),$G12)))-YEAR($F12))*12+MONTH(MIN((J$4+6),IF($G12="",(J$4+6),$G12)))-MONTH($F12)-IF(DAY(MIN((J$4+6),IF($G12="",(J$4+6),$G12)))&lt;DAY($F12),1,0))+1,INT(((YEAR(MIN((J$4+6),IF($G12="",(J$4+6),$G12)))-YEAR($F12))*12+MONTH(MIN((J$4+6),IF($G12="",(J$4+6),$G12)))-MONTH($F12)-IF(DAY(MIN((J$4+6),IF($G12="",(J$4+6),$G12)))&lt;DAY($F12),1,0))/3)+1,INT(((YEAR(MIN((J$4+6),IF($G12="",(J$4+6),$G12)))-YEAR($F12))*12+MONTH(MIN((J$4+6),IF($G12="",(J$4+6),$G12)))-MONTH($F12)-IF(DAY(MIN((J$4+6),IF($G12="",(J$4+6),$G12)))&lt;DAY($F12),1,0))/12)+1,1))-IF((J$4-1)&lt;$F12,0,CHOOSE(MATCH($E12,{"Weekly","Every 2 weeks","Monthly","Quarterly","Yearly","One-time"},0),INT(((J$4-1)-$F12)/7)+1,INT(((J$4-1)-$F12)/14)+1,((YEAR((J$4-1))-YEAR($F12))*12+MONTH((J$4-1))-MONTH($F12)-IF(DAY((J$4-1))&lt;DAY($F12),1,0))+1,INT(((YEAR((J$4-1))-YEAR($F12))*12+MONTH((J$4-1))-MONTH($F12)-IF(DAY((J$4-1))&lt;DAY($F12),1,0))/3)+1,INT(((YEAR((J$4-1))-YEAR($F12))*12+MONTH((J$4-1))-MONTH($F12)-IF(DAY((J$4-1))&lt;DAY($F12),1,0))/12)+1,1))),0)*$D12)</f>
        <v>0</v>
      </c>
      <c r="K12" s="49" t="n">
        <f aca="false">IF(OR($A12="",$D12="",$E12="",$F12=""),0,IFERROR(MAX(0,IF(MIN((K$4+6),IF($G12="",(K$4+6),$G12))&lt;$F12,0,CHOOSE(MATCH($E12,{"Weekly","Every 2 weeks","Monthly","Quarterly","Yearly","One-time"},0),INT((MIN((K$4+6),IF($G12="",(K$4+6),$G12))-$F12)/7)+1,INT((MIN((K$4+6),IF($G12="",(K$4+6),$G12))-$F12)/14)+1,((YEAR(MIN((K$4+6),IF($G12="",(K$4+6),$G12)))-YEAR($F12))*12+MONTH(MIN((K$4+6),IF($G12="",(K$4+6),$G12)))-MONTH($F12)-IF(DAY(MIN((K$4+6),IF($G12="",(K$4+6),$G12)))&lt;DAY($F12),1,0))+1,INT(((YEAR(MIN((K$4+6),IF($G12="",(K$4+6),$G12)))-YEAR($F12))*12+MONTH(MIN((K$4+6),IF($G12="",(K$4+6),$G12)))-MONTH($F12)-IF(DAY(MIN((K$4+6),IF($G12="",(K$4+6),$G12)))&lt;DAY($F12),1,0))/3)+1,INT(((YEAR(MIN((K$4+6),IF($G12="",(K$4+6),$G12)))-YEAR($F12))*12+MONTH(MIN((K$4+6),IF($G12="",(K$4+6),$G12)))-MONTH($F12)-IF(DAY(MIN((K$4+6),IF($G12="",(K$4+6),$G12)))&lt;DAY($F12),1,0))/12)+1,1))-IF((K$4-1)&lt;$F12,0,CHOOSE(MATCH($E12,{"Weekly","Every 2 weeks","Monthly","Quarterly","Yearly","One-time"},0),INT(((K$4-1)-$F12)/7)+1,INT(((K$4-1)-$F12)/14)+1,((YEAR((K$4-1))-YEAR($F12))*12+MONTH((K$4-1))-MONTH($F12)-IF(DAY((K$4-1))&lt;DAY($F12),1,0))+1,INT(((YEAR((K$4-1))-YEAR($F12))*12+MONTH((K$4-1))-MONTH($F12)-IF(DAY((K$4-1))&lt;DAY($F12),1,0))/3)+1,INT(((YEAR((K$4-1))-YEAR($F12))*12+MONTH((K$4-1))-MONTH($F12)-IF(DAY((K$4-1))&lt;DAY($F12),1,0))/12)+1,1))),0)*$D12)</f>
        <v>0</v>
      </c>
      <c r="L12" s="49" t="n">
        <f aca="false">IF(OR($A12="",$D12="",$E12="",$F12=""),0,IFERROR(MAX(0,IF(MIN((L$4+6),IF($G12="",(L$4+6),$G12))&lt;$F12,0,CHOOSE(MATCH($E12,{"Weekly","Every 2 weeks","Monthly","Quarterly","Yearly","One-time"},0),INT((MIN((L$4+6),IF($G12="",(L$4+6),$G12))-$F12)/7)+1,INT((MIN((L$4+6),IF($G12="",(L$4+6),$G12))-$F12)/14)+1,((YEAR(MIN((L$4+6),IF($G12="",(L$4+6),$G12)))-YEAR($F12))*12+MONTH(MIN((L$4+6),IF($G12="",(L$4+6),$G12)))-MONTH($F12)-IF(DAY(MIN((L$4+6),IF($G12="",(L$4+6),$G12)))&lt;DAY($F12),1,0))+1,INT(((YEAR(MIN((L$4+6),IF($G12="",(L$4+6),$G12)))-YEAR($F12))*12+MONTH(MIN((L$4+6),IF($G12="",(L$4+6),$G12)))-MONTH($F12)-IF(DAY(MIN((L$4+6),IF($G12="",(L$4+6),$G12)))&lt;DAY($F12),1,0))/3)+1,INT(((YEAR(MIN((L$4+6),IF($G12="",(L$4+6),$G12)))-YEAR($F12))*12+MONTH(MIN((L$4+6),IF($G12="",(L$4+6),$G12)))-MONTH($F12)-IF(DAY(MIN((L$4+6),IF($G12="",(L$4+6),$G12)))&lt;DAY($F12),1,0))/12)+1,1))-IF((L$4-1)&lt;$F12,0,CHOOSE(MATCH($E12,{"Weekly","Every 2 weeks","Monthly","Quarterly","Yearly","One-time"},0),INT(((L$4-1)-$F12)/7)+1,INT(((L$4-1)-$F12)/14)+1,((YEAR((L$4-1))-YEAR($F12))*12+MONTH((L$4-1))-MONTH($F12)-IF(DAY((L$4-1))&lt;DAY($F12),1,0))+1,INT(((YEAR((L$4-1))-YEAR($F12))*12+MONTH((L$4-1))-MONTH($F12)-IF(DAY((L$4-1))&lt;DAY($F12),1,0))/3)+1,INT(((YEAR((L$4-1))-YEAR($F12))*12+MONTH((L$4-1))-MONTH($F12)-IF(DAY((L$4-1))&lt;DAY($F12),1,0))/12)+1,1))),0)*$D12)</f>
        <v>0</v>
      </c>
      <c r="M12" s="50"/>
      <c r="N12" s="50"/>
      <c r="O12" s="50"/>
      <c r="P12" s="50"/>
      <c r="Q12" s="50"/>
      <c r="R12" s="50"/>
      <c r="S12" s="50"/>
      <c r="T12" s="50"/>
      <c r="U12" s="50"/>
    </row>
    <row r="13" customFormat="false" ht="15" hidden="false" customHeight="true" outlineLevel="0" collapsed="false">
      <c r="A13" s="46" t="s">
        <v>108</v>
      </c>
      <c r="B13" s="46" t="s">
        <v>41</v>
      </c>
      <c r="C13" s="46" t="s">
        <v>97</v>
      </c>
      <c r="D13" s="47" t="n">
        <v>3600</v>
      </c>
      <c r="E13" s="46" t="s">
        <v>109</v>
      </c>
      <c r="F13" s="48" t="n">
        <v>46397</v>
      </c>
      <c r="G13" s="48"/>
      <c r="I13" s="49" t="n">
        <f aca="false">IF(OR($A13="",$D13="",$E13="",$F13=""),0,IFERROR(MAX(0,IF(MIN((I$4+6),IF($G13="",(I$4+6),$G13))&lt;$F13,0,CHOOSE(MATCH($E13,{"Weekly","Every 2 weeks","Monthly","Quarterly","Yearly","One-time"},0),INT((MIN((I$4+6),IF($G13="",(I$4+6),$G13))-$F13)/7)+1,INT((MIN((I$4+6),IF($G13="",(I$4+6),$G13))-$F13)/14)+1,((YEAR(MIN((I$4+6),IF($G13="",(I$4+6),$G13)))-YEAR($F13))*12+MONTH(MIN((I$4+6),IF($G13="",(I$4+6),$G13)))-MONTH($F13)-IF(DAY(MIN((I$4+6),IF($G13="",(I$4+6),$G13)))&lt;DAY($F13),1,0))+1,INT(((YEAR(MIN((I$4+6),IF($G13="",(I$4+6),$G13)))-YEAR($F13))*12+MONTH(MIN((I$4+6),IF($G13="",(I$4+6),$G13)))-MONTH($F13)-IF(DAY(MIN((I$4+6),IF($G13="",(I$4+6),$G13)))&lt;DAY($F13),1,0))/3)+1,INT(((YEAR(MIN((I$4+6),IF($G13="",(I$4+6),$G13)))-YEAR($F13))*12+MONTH(MIN((I$4+6),IF($G13="",(I$4+6),$G13)))-MONTH($F13)-IF(DAY(MIN((I$4+6),IF($G13="",(I$4+6),$G13)))&lt;DAY($F13),1,0))/12)+1,1))-IF((I$4-1)&lt;$F13,0,CHOOSE(MATCH($E13,{"Weekly","Every 2 weeks","Monthly","Quarterly","Yearly","One-time"},0),INT(((I$4-1)-$F13)/7)+1,INT(((I$4-1)-$F13)/14)+1,((YEAR((I$4-1))-YEAR($F13))*12+MONTH((I$4-1))-MONTH($F13)-IF(DAY((I$4-1))&lt;DAY($F13),1,0))+1,INT(((YEAR((I$4-1))-YEAR($F13))*12+MONTH((I$4-1))-MONTH($F13)-IF(DAY((I$4-1))&lt;DAY($F13),1,0))/3)+1,INT(((YEAR((I$4-1))-YEAR($F13))*12+MONTH((I$4-1))-MONTH($F13)-IF(DAY((I$4-1))&lt;DAY($F13),1,0))/12)+1,1))),0)*$D13)</f>
        <v>0</v>
      </c>
      <c r="J13" s="49" t="n">
        <f aca="false">IF(OR($A13="",$D13="",$E13="",$F13=""),0,IFERROR(MAX(0,IF(MIN((J$4+6),IF($G13="",(J$4+6),$G13))&lt;$F13,0,CHOOSE(MATCH($E13,{"Weekly","Every 2 weeks","Monthly","Quarterly","Yearly","One-time"},0),INT((MIN((J$4+6),IF($G13="",(J$4+6),$G13))-$F13)/7)+1,INT((MIN((J$4+6),IF($G13="",(J$4+6),$G13))-$F13)/14)+1,((YEAR(MIN((J$4+6),IF($G13="",(J$4+6),$G13)))-YEAR($F13))*12+MONTH(MIN((J$4+6),IF($G13="",(J$4+6),$G13)))-MONTH($F13)-IF(DAY(MIN((J$4+6),IF($G13="",(J$4+6),$G13)))&lt;DAY($F13),1,0))+1,INT(((YEAR(MIN((J$4+6),IF($G13="",(J$4+6),$G13)))-YEAR($F13))*12+MONTH(MIN((J$4+6),IF($G13="",(J$4+6),$G13)))-MONTH($F13)-IF(DAY(MIN((J$4+6),IF($G13="",(J$4+6),$G13)))&lt;DAY($F13),1,0))/3)+1,INT(((YEAR(MIN((J$4+6),IF($G13="",(J$4+6),$G13)))-YEAR($F13))*12+MONTH(MIN((J$4+6),IF($G13="",(J$4+6),$G13)))-MONTH($F13)-IF(DAY(MIN((J$4+6),IF($G13="",(J$4+6),$G13)))&lt;DAY($F13),1,0))/12)+1,1))-IF((J$4-1)&lt;$F13,0,CHOOSE(MATCH($E13,{"Weekly","Every 2 weeks","Monthly","Quarterly","Yearly","One-time"},0),INT(((J$4-1)-$F13)/7)+1,INT(((J$4-1)-$F13)/14)+1,((YEAR((J$4-1))-YEAR($F13))*12+MONTH((J$4-1))-MONTH($F13)-IF(DAY((J$4-1))&lt;DAY($F13),1,0))+1,INT(((YEAR((J$4-1))-YEAR($F13))*12+MONTH((J$4-1))-MONTH($F13)-IF(DAY((J$4-1))&lt;DAY($F13),1,0))/3)+1,INT(((YEAR((J$4-1))-YEAR($F13))*12+MONTH((J$4-1))-MONTH($F13)-IF(DAY((J$4-1))&lt;DAY($F13),1,0))/12)+1,1))),0)*$D13)</f>
        <v>0</v>
      </c>
      <c r="K13" s="49" t="n">
        <f aca="false">IF(OR($A13="",$D13="",$E13="",$F13=""),0,IFERROR(MAX(0,IF(MIN((K$4+6),IF($G13="",(K$4+6),$G13))&lt;$F13,0,CHOOSE(MATCH($E13,{"Weekly","Every 2 weeks","Monthly","Quarterly","Yearly","One-time"},0),INT((MIN((K$4+6),IF($G13="",(K$4+6),$G13))-$F13)/7)+1,INT((MIN((K$4+6),IF($G13="",(K$4+6),$G13))-$F13)/14)+1,((YEAR(MIN((K$4+6),IF($G13="",(K$4+6),$G13)))-YEAR($F13))*12+MONTH(MIN((K$4+6),IF($G13="",(K$4+6),$G13)))-MONTH($F13)-IF(DAY(MIN((K$4+6),IF($G13="",(K$4+6),$G13)))&lt;DAY($F13),1,0))+1,INT(((YEAR(MIN((K$4+6),IF($G13="",(K$4+6),$G13)))-YEAR($F13))*12+MONTH(MIN((K$4+6),IF($G13="",(K$4+6),$G13)))-MONTH($F13)-IF(DAY(MIN((K$4+6),IF($G13="",(K$4+6),$G13)))&lt;DAY($F13),1,0))/3)+1,INT(((YEAR(MIN((K$4+6),IF($G13="",(K$4+6),$G13)))-YEAR($F13))*12+MONTH(MIN((K$4+6),IF($G13="",(K$4+6),$G13)))-MONTH($F13)-IF(DAY(MIN((K$4+6),IF($G13="",(K$4+6),$G13)))&lt;DAY($F13),1,0))/12)+1,1))-IF((K$4-1)&lt;$F13,0,CHOOSE(MATCH($E13,{"Weekly","Every 2 weeks","Monthly","Quarterly","Yearly","One-time"},0),INT(((K$4-1)-$F13)/7)+1,INT(((K$4-1)-$F13)/14)+1,((YEAR((K$4-1))-YEAR($F13))*12+MONTH((K$4-1))-MONTH($F13)-IF(DAY((K$4-1))&lt;DAY($F13),1,0))+1,INT(((YEAR((K$4-1))-YEAR($F13))*12+MONTH((K$4-1))-MONTH($F13)-IF(DAY((K$4-1))&lt;DAY($F13),1,0))/3)+1,INT(((YEAR((K$4-1))-YEAR($F13))*12+MONTH((K$4-1))-MONTH($F13)-IF(DAY((K$4-1))&lt;DAY($F13),1,0))/12)+1,1))),0)*$D13)</f>
        <v>0</v>
      </c>
      <c r="L13" s="49" t="n">
        <f aca="false">IF(OR($A13="",$D13="",$E13="",$F13=""),0,IFERROR(MAX(0,IF(MIN((L$4+6),IF($G13="",(L$4+6),$G13))&lt;$F13,0,CHOOSE(MATCH($E13,{"Weekly","Every 2 weeks","Monthly","Quarterly","Yearly","One-time"},0),INT((MIN((L$4+6),IF($G13="",(L$4+6),$G13))-$F13)/7)+1,INT((MIN((L$4+6),IF($G13="",(L$4+6),$G13))-$F13)/14)+1,((YEAR(MIN((L$4+6),IF($G13="",(L$4+6),$G13)))-YEAR($F13))*12+MONTH(MIN((L$4+6),IF($G13="",(L$4+6),$G13)))-MONTH($F13)-IF(DAY(MIN((L$4+6),IF($G13="",(L$4+6),$G13)))&lt;DAY($F13),1,0))+1,INT(((YEAR(MIN((L$4+6),IF($G13="",(L$4+6),$G13)))-YEAR($F13))*12+MONTH(MIN((L$4+6),IF($G13="",(L$4+6),$G13)))-MONTH($F13)-IF(DAY(MIN((L$4+6),IF($G13="",(L$4+6),$G13)))&lt;DAY($F13),1,0))/3)+1,INT(((YEAR(MIN((L$4+6),IF($G13="",(L$4+6),$G13)))-YEAR($F13))*12+MONTH(MIN((L$4+6),IF($G13="",(L$4+6),$G13)))-MONTH($F13)-IF(DAY(MIN((L$4+6),IF($G13="",(L$4+6),$G13)))&lt;DAY($F13),1,0))/12)+1,1))-IF((L$4-1)&lt;$F13,0,CHOOSE(MATCH($E13,{"Weekly","Every 2 weeks","Monthly","Quarterly","Yearly","One-time"},0),INT(((L$4-1)-$F13)/7)+1,INT(((L$4-1)-$F13)/14)+1,((YEAR((L$4-1))-YEAR($F13))*12+MONTH((L$4-1))-MONTH($F13)-IF(DAY((L$4-1))&lt;DAY($F13),1,0))+1,INT(((YEAR((L$4-1))-YEAR($F13))*12+MONTH((L$4-1))-MONTH($F13)-IF(DAY((L$4-1))&lt;DAY($F13),1,0))/3)+1,INT(((YEAR((L$4-1))-YEAR($F13))*12+MONTH((L$4-1))-MONTH($F13)-IF(DAY((L$4-1))&lt;DAY($F13),1,0))/12)+1,1))),0)*$D13)</f>
        <v>0</v>
      </c>
      <c r="M13" s="50"/>
      <c r="N13" s="50"/>
      <c r="O13" s="50"/>
      <c r="P13" s="50"/>
      <c r="Q13" s="50"/>
      <c r="R13" s="50"/>
      <c r="S13" s="50"/>
      <c r="T13" s="50"/>
      <c r="U13" s="50"/>
    </row>
    <row r="14" customFormat="false" ht="15" hidden="false" customHeight="true" outlineLevel="0" collapsed="false">
      <c r="A14" s="46" t="s">
        <v>110</v>
      </c>
      <c r="B14" s="46" t="s">
        <v>69</v>
      </c>
      <c r="C14" s="46" t="s">
        <v>111</v>
      </c>
      <c r="D14" s="47" t="n">
        <v>12000</v>
      </c>
      <c r="E14" s="46" t="s">
        <v>100</v>
      </c>
      <c r="F14" s="48" t="n">
        <v>46327</v>
      </c>
      <c r="G14" s="48"/>
      <c r="I14" s="49" t="n">
        <f aca="false">IF(OR($A14="",$D14="",$E14="",$F14=""),0,IFERROR(MAX(0,IF(MIN((I$4+6),IF($G14="",(I$4+6),$G14))&lt;$F14,0,CHOOSE(MATCH($E14,{"Weekly","Every 2 weeks","Monthly","Quarterly","Yearly","One-time"},0),INT((MIN((I$4+6),IF($G14="",(I$4+6),$G14))-$F14)/7)+1,INT((MIN((I$4+6),IF($G14="",(I$4+6),$G14))-$F14)/14)+1,((YEAR(MIN((I$4+6),IF($G14="",(I$4+6),$G14)))-YEAR($F14))*12+MONTH(MIN((I$4+6),IF($G14="",(I$4+6),$G14)))-MONTH($F14)-IF(DAY(MIN((I$4+6),IF($G14="",(I$4+6),$G14)))&lt;DAY($F14),1,0))+1,INT(((YEAR(MIN((I$4+6),IF($G14="",(I$4+6),$G14)))-YEAR($F14))*12+MONTH(MIN((I$4+6),IF($G14="",(I$4+6),$G14)))-MONTH($F14)-IF(DAY(MIN((I$4+6),IF($G14="",(I$4+6),$G14)))&lt;DAY($F14),1,0))/3)+1,INT(((YEAR(MIN((I$4+6),IF($G14="",(I$4+6),$G14)))-YEAR($F14))*12+MONTH(MIN((I$4+6),IF($G14="",(I$4+6),$G14)))-MONTH($F14)-IF(DAY(MIN((I$4+6),IF($G14="",(I$4+6),$G14)))&lt;DAY($F14),1,0))/12)+1,1))-IF((I$4-1)&lt;$F14,0,CHOOSE(MATCH($E14,{"Weekly","Every 2 weeks","Monthly","Quarterly","Yearly","One-time"},0),INT(((I$4-1)-$F14)/7)+1,INT(((I$4-1)-$F14)/14)+1,((YEAR((I$4-1))-YEAR($F14))*12+MONTH((I$4-1))-MONTH($F14)-IF(DAY((I$4-1))&lt;DAY($F14),1,0))+1,INT(((YEAR((I$4-1))-YEAR($F14))*12+MONTH((I$4-1))-MONTH($F14)-IF(DAY((I$4-1))&lt;DAY($F14),1,0))/3)+1,INT(((YEAR((I$4-1))-YEAR($F14))*12+MONTH((I$4-1))-MONTH($F14)-IF(DAY((I$4-1))&lt;DAY($F14),1,0))/12)+1,1))),0)*$D14)</f>
        <v>0</v>
      </c>
      <c r="J14" s="49" t="n">
        <f aca="false">IF(OR($A14="",$D14="",$E14="",$F14=""),0,IFERROR(MAX(0,IF(MIN((J$4+6),IF($G14="",(J$4+6),$G14))&lt;$F14,0,CHOOSE(MATCH($E14,{"Weekly","Every 2 weeks","Monthly","Quarterly","Yearly","One-time"},0),INT((MIN((J$4+6),IF($G14="",(J$4+6),$G14))-$F14)/7)+1,INT((MIN((J$4+6),IF($G14="",(J$4+6),$G14))-$F14)/14)+1,((YEAR(MIN((J$4+6),IF($G14="",(J$4+6),$G14)))-YEAR($F14))*12+MONTH(MIN((J$4+6),IF($G14="",(J$4+6),$G14)))-MONTH($F14)-IF(DAY(MIN((J$4+6),IF($G14="",(J$4+6),$G14)))&lt;DAY($F14),1,0))+1,INT(((YEAR(MIN((J$4+6),IF($G14="",(J$4+6),$G14)))-YEAR($F14))*12+MONTH(MIN((J$4+6),IF($G14="",(J$4+6),$G14)))-MONTH($F14)-IF(DAY(MIN((J$4+6),IF($G14="",(J$4+6),$G14)))&lt;DAY($F14),1,0))/3)+1,INT(((YEAR(MIN((J$4+6),IF($G14="",(J$4+6),$G14)))-YEAR($F14))*12+MONTH(MIN((J$4+6),IF($G14="",(J$4+6),$G14)))-MONTH($F14)-IF(DAY(MIN((J$4+6),IF($G14="",(J$4+6),$G14)))&lt;DAY($F14),1,0))/12)+1,1))-IF((J$4-1)&lt;$F14,0,CHOOSE(MATCH($E14,{"Weekly","Every 2 weeks","Monthly","Quarterly","Yearly","One-time"},0),INT(((J$4-1)-$F14)/7)+1,INT(((J$4-1)-$F14)/14)+1,((YEAR((J$4-1))-YEAR($F14))*12+MONTH((J$4-1))-MONTH($F14)-IF(DAY((J$4-1))&lt;DAY($F14),1,0))+1,INT(((YEAR((J$4-1))-YEAR($F14))*12+MONTH((J$4-1))-MONTH($F14)-IF(DAY((J$4-1))&lt;DAY($F14),1,0))/3)+1,INT(((YEAR((J$4-1))-YEAR($F14))*12+MONTH((J$4-1))-MONTH($F14)-IF(DAY((J$4-1))&lt;DAY($F14),1,0))/12)+1,1))),0)*$D14)</f>
        <v>0</v>
      </c>
      <c r="K14" s="49" t="n">
        <f aca="false">IF(OR($A14="",$D14="",$E14="",$F14=""),0,IFERROR(MAX(0,IF(MIN((K$4+6),IF($G14="",(K$4+6),$G14))&lt;$F14,0,CHOOSE(MATCH($E14,{"Weekly","Every 2 weeks","Monthly","Quarterly","Yearly","One-time"},0),INT((MIN((K$4+6),IF($G14="",(K$4+6),$G14))-$F14)/7)+1,INT((MIN((K$4+6),IF($G14="",(K$4+6),$G14))-$F14)/14)+1,((YEAR(MIN((K$4+6),IF($G14="",(K$4+6),$G14)))-YEAR($F14))*12+MONTH(MIN((K$4+6),IF($G14="",(K$4+6),$G14)))-MONTH($F14)-IF(DAY(MIN((K$4+6),IF($G14="",(K$4+6),$G14)))&lt;DAY($F14),1,0))+1,INT(((YEAR(MIN((K$4+6),IF($G14="",(K$4+6),$G14)))-YEAR($F14))*12+MONTH(MIN((K$4+6),IF($G14="",(K$4+6),$G14)))-MONTH($F14)-IF(DAY(MIN((K$4+6),IF($G14="",(K$4+6),$G14)))&lt;DAY($F14),1,0))/3)+1,INT(((YEAR(MIN((K$4+6),IF($G14="",(K$4+6),$G14)))-YEAR($F14))*12+MONTH(MIN((K$4+6),IF($G14="",(K$4+6),$G14)))-MONTH($F14)-IF(DAY(MIN((K$4+6),IF($G14="",(K$4+6),$G14)))&lt;DAY($F14),1,0))/12)+1,1))-IF((K$4-1)&lt;$F14,0,CHOOSE(MATCH($E14,{"Weekly","Every 2 weeks","Monthly","Quarterly","Yearly","One-time"},0),INT(((K$4-1)-$F14)/7)+1,INT(((K$4-1)-$F14)/14)+1,((YEAR((K$4-1))-YEAR($F14))*12+MONTH((K$4-1))-MONTH($F14)-IF(DAY((K$4-1))&lt;DAY($F14),1,0))+1,INT(((YEAR((K$4-1))-YEAR($F14))*12+MONTH((K$4-1))-MONTH($F14)-IF(DAY((K$4-1))&lt;DAY($F14),1,0))/3)+1,INT(((YEAR((K$4-1))-YEAR($F14))*12+MONTH((K$4-1))-MONTH($F14)-IF(DAY((K$4-1))&lt;DAY($F14),1,0))/12)+1,1))),0)*$D14)</f>
        <v>0</v>
      </c>
      <c r="L14" s="49" t="n">
        <f aca="false">IF(OR($A14="",$D14="",$E14="",$F14=""),0,IFERROR(MAX(0,IF(MIN((L$4+6),IF($G14="",(L$4+6),$G14))&lt;$F14,0,CHOOSE(MATCH($E14,{"Weekly","Every 2 weeks","Monthly","Quarterly","Yearly","One-time"},0),INT((MIN((L$4+6),IF($G14="",(L$4+6),$G14))-$F14)/7)+1,INT((MIN((L$4+6),IF($G14="",(L$4+6),$G14))-$F14)/14)+1,((YEAR(MIN((L$4+6),IF($G14="",(L$4+6),$G14)))-YEAR($F14))*12+MONTH(MIN((L$4+6),IF($G14="",(L$4+6),$G14)))-MONTH($F14)-IF(DAY(MIN((L$4+6),IF($G14="",(L$4+6),$G14)))&lt;DAY($F14),1,0))+1,INT(((YEAR(MIN((L$4+6),IF($G14="",(L$4+6),$G14)))-YEAR($F14))*12+MONTH(MIN((L$4+6),IF($G14="",(L$4+6),$G14)))-MONTH($F14)-IF(DAY(MIN((L$4+6),IF($G14="",(L$4+6),$G14)))&lt;DAY($F14),1,0))/3)+1,INT(((YEAR(MIN((L$4+6),IF($G14="",(L$4+6),$G14)))-YEAR($F14))*12+MONTH(MIN((L$4+6),IF($G14="",(L$4+6),$G14)))-MONTH($F14)-IF(DAY(MIN((L$4+6),IF($G14="",(L$4+6),$G14)))&lt;DAY($F14),1,0))/12)+1,1))-IF((L$4-1)&lt;$F14,0,CHOOSE(MATCH($E14,{"Weekly","Every 2 weeks","Monthly","Quarterly","Yearly","One-time"},0),INT(((L$4-1)-$F14)/7)+1,INT(((L$4-1)-$F14)/14)+1,((YEAR((L$4-1))-YEAR($F14))*12+MONTH((L$4-1))-MONTH($F14)-IF(DAY((L$4-1))&lt;DAY($F14),1,0))+1,INT(((YEAR((L$4-1))-YEAR($F14))*12+MONTH((L$4-1))-MONTH($F14)-IF(DAY((L$4-1))&lt;DAY($F14),1,0))/3)+1,INT(((YEAR((L$4-1))-YEAR($F14))*12+MONTH((L$4-1))-MONTH($F14)-IF(DAY((L$4-1))&lt;DAY($F14),1,0))/12)+1,1))),0)*$D14)</f>
        <v>0</v>
      </c>
      <c r="M14" s="50"/>
      <c r="N14" s="50"/>
      <c r="O14" s="50"/>
      <c r="P14" s="50"/>
      <c r="Q14" s="50"/>
      <c r="R14" s="50"/>
      <c r="S14" s="50"/>
      <c r="T14" s="50"/>
      <c r="U14" s="50"/>
    </row>
    <row r="15" customFormat="false" ht="15" hidden="false" customHeight="true" outlineLevel="0" collapsed="false">
      <c r="A15" s="46" t="s">
        <v>112</v>
      </c>
      <c r="B15" s="46" t="s">
        <v>69</v>
      </c>
      <c r="C15" s="46" t="s">
        <v>111</v>
      </c>
      <c r="D15" s="47" t="n">
        <v>8500</v>
      </c>
      <c r="E15" s="46" t="s">
        <v>100</v>
      </c>
      <c r="F15" s="48" t="n">
        <v>46341</v>
      </c>
      <c r="G15" s="48"/>
      <c r="I15" s="49" t="n">
        <f aca="false">IF(OR($A15="",$D15="",$E15="",$F15=""),0,IFERROR(MAX(0,IF(MIN((I$4+6),IF($G15="",(I$4+6),$G15))&lt;$F15,0,CHOOSE(MATCH($E15,{"Weekly","Every 2 weeks","Monthly","Quarterly","Yearly","One-time"},0),INT((MIN((I$4+6),IF($G15="",(I$4+6),$G15))-$F15)/7)+1,INT((MIN((I$4+6),IF($G15="",(I$4+6),$G15))-$F15)/14)+1,((YEAR(MIN((I$4+6),IF($G15="",(I$4+6),$G15)))-YEAR($F15))*12+MONTH(MIN((I$4+6),IF($G15="",(I$4+6),$G15)))-MONTH($F15)-IF(DAY(MIN((I$4+6),IF($G15="",(I$4+6),$G15)))&lt;DAY($F15),1,0))+1,INT(((YEAR(MIN((I$4+6),IF($G15="",(I$4+6),$G15)))-YEAR($F15))*12+MONTH(MIN((I$4+6),IF($G15="",(I$4+6),$G15)))-MONTH($F15)-IF(DAY(MIN((I$4+6),IF($G15="",(I$4+6),$G15)))&lt;DAY($F15),1,0))/3)+1,INT(((YEAR(MIN((I$4+6),IF($G15="",(I$4+6),$G15)))-YEAR($F15))*12+MONTH(MIN((I$4+6),IF($G15="",(I$4+6),$G15)))-MONTH($F15)-IF(DAY(MIN((I$4+6),IF($G15="",(I$4+6),$G15)))&lt;DAY($F15),1,0))/12)+1,1))-IF((I$4-1)&lt;$F15,0,CHOOSE(MATCH($E15,{"Weekly","Every 2 weeks","Monthly","Quarterly","Yearly","One-time"},0),INT(((I$4-1)-$F15)/7)+1,INT(((I$4-1)-$F15)/14)+1,((YEAR((I$4-1))-YEAR($F15))*12+MONTH((I$4-1))-MONTH($F15)-IF(DAY((I$4-1))&lt;DAY($F15),1,0))+1,INT(((YEAR((I$4-1))-YEAR($F15))*12+MONTH((I$4-1))-MONTH($F15)-IF(DAY((I$4-1))&lt;DAY($F15),1,0))/3)+1,INT(((YEAR((I$4-1))-YEAR($F15))*12+MONTH((I$4-1))-MONTH($F15)-IF(DAY((I$4-1))&lt;DAY($F15),1,0))/12)+1,1))),0)*$D15)</f>
        <v>0</v>
      </c>
      <c r="J15" s="49" t="n">
        <f aca="false">IF(OR($A15="",$D15="",$E15="",$F15=""),0,IFERROR(MAX(0,IF(MIN((J$4+6),IF($G15="",(J$4+6),$G15))&lt;$F15,0,CHOOSE(MATCH($E15,{"Weekly","Every 2 weeks","Monthly","Quarterly","Yearly","One-time"},0),INT((MIN((J$4+6),IF($G15="",(J$4+6),$G15))-$F15)/7)+1,INT((MIN((J$4+6),IF($G15="",(J$4+6),$G15))-$F15)/14)+1,((YEAR(MIN((J$4+6),IF($G15="",(J$4+6),$G15)))-YEAR($F15))*12+MONTH(MIN((J$4+6),IF($G15="",(J$4+6),$G15)))-MONTH($F15)-IF(DAY(MIN((J$4+6),IF($G15="",(J$4+6),$G15)))&lt;DAY($F15),1,0))+1,INT(((YEAR(MIN((J$4+6),IF($G15="",(J$4+6),$G15)))-YEAR($F15))*12+MONTH(MIN((J$4+6),IF($G15="",(J$4+6),$G15)))-MONTH($F15)-IF(DAY(MIN((J$4+6),IF($G15="",(J$4+6),$G15)))&lt;DAY($F15),1,0))/3)+1,INT(((YEAR(MIN((J$4+6),IF($G15="",(J$4+6),$G15)))-YEAR($F15))*12+MONTH(MIN((J$4+6),IF($G15="",(J$4+6),$G15)))-MONTH($F15)-IF(DAY(MIN((J$4+6),IF($G15="",(J$4+6),$G15)))&lt;DAY($F15),1,0))/12)+1,1))-IF((J$4-1)&lt;$F15,0,CHOOSE(MATCH($E15,{"Weekly","Every 2 weeks","Monthly","Quarterly","Yearly","One-time"},0),INT(((J$4-1)-$F15)/7)+1,INT(((J$4-1)-$F15)/14)+1,((YEAR((J$4-1))-YEAR($F15))*12+MONTH((J$4-1))-MONTH($F15)-IF(DAY((J$4-1))&lt;DAY($F15),1,0))+1,INT(((YEAR((J$4-1))-YEAR($F15))*12+MONTH((J$4-1))-MONTH($F15)-IF(DAY((J$4-1))&lt;DAY($F15),1,0))/3)+1,INT(((YEAR((J$4-1))-YEAR($F15))*12+MONTH((J$4-1))-MONTH($F15)-IF(DAY((J$4-1))&lt;DAY($F15),1,0))/12)+1,1))),0)*$D15)</f>
        <v>8500</v>
      </c>
      <c r="K15" s="49" t="n">
        <f aca="false">IF(OR($A15="",$D15="",$E15="",$F15=""),0,IFERROR(MAX(0,IF(MIN((K$4+6),IF($G15="",(K$4+6),$G15))&lt;$F15,0,CHOOSE(MATCH($E15,{"Weekly","Every 2 weeks","Monthly","Quarterly","Yearly","One-time"},0),INT((MIN((K$4+6),IF($G15="",(K$4+6),$G15))-$F15)/7)+1,INT((MIN((K$4+6),IF($G15="",(K$4+6),$G15))-$F15)/14)+1,((YEAR(MIN((K$4+6),IF($G15="",(K$4+6),$G15)))-YEAR($F15))*12+MONTH(MIN((K$4+6),IF($G15="",(K$4+6),$G15)))-MONTH($F15)-IF(DAY(MIN((K$4+6),IF($G15="",(K$4+6),$G15)))&lt;DAY($F15),1,0))+1,INT(((YEAR(MIN((K$4+6),IF($G15="",(K$4+6),$G15)))-YEAR($F15))*12+MONTH(MIN((K$4+6),IF($G15="",(K$4+6),$G15)))-MONTH($F15)-IF(DAY(MIN((K$4+6),IF($G15="",(K$4+6),$G15)))&lt;DAY($F15),1,0))/3)+1,INT(((YEAR(MIN((K$4+6),IF($G15="",(K$4+6),$G15)))-YEAR($F15))*12+MONTH(MIN((K$4+6),IF($G15="",(K$4+6),$G15)))-MONTH($F15)-IF(DAY(MIN((K$4+6),IF($G15="",(K$4+6),$G15)))&lt;DAY($F15),1,0))/12)+1,1))-IF((K$4-1)&lt;$F15,0,CHOOSE(MATCH($E15,{"Weekly","Every 2 weeks","Monthly","Quarterly","Yearly","One-time"},0),INT(((K$4-1)-$F15)/7)+1,INT(((K$4-1)-$F15)/14)+1,((YEAR((K$4-1))-YEAR($F15))*12+MONTH((K$4-1))-MONTH($F15)-IF(DAY((K$4-1))&lt;DAY($F15),1,0))+1,INT(((YEAR((K$4-1))-YEAR($F15))*12+MONTH((K$4-1))-MONTH($F15)-IF(DAY((K$4-1))&lt;DAY($F15),1,0))/3)+1,INT(((YEAR((K$4-1))-YEAR($F15))*12+MONTH((K$4-1))-MONTH($F15)-IF(DAY((K$4-1))&lt;DAY($F15),1,0))/12)+1,1))),0)*$D15)</f>
        <v>0</v>
      </c>
      <c r="L15" s="49" t="n">
        <f aca="false">IF(OR($A15="",$D15="",$E15="",$F15=""),0,IFERROR(MAX(0,IF(MIN((L$4+6),IF($G15="",(L$4+6),$G15))&lt;$F15,0,CHOOSE(MATCH($E15,{"Weekly","Every 2 weeks","Monthly","Quarterly","Yearly","One-time"},0),INT((MIN((L$4+6),IF($G15="",(L$4+6),$G15))-$F15)/7)+1,INT((MIN((L$4+6),IF($G15="",(L$4+6),$G15))-$F15)/14)+1,((YEAR(MIN((L$4+6),IF($G15="",(L$4+6),$G15)))-YEAR($F15))*12+MONTH(MIN((L$4+6),IF($G15="",(L$4+6),$G15)))-MONTH($F15)-IF(DAY(MIN((L$4+6),IF($G15="",(L$4+6),$G15)))&lt;DAY($F15),1,0))+1,INT(((YEAR(MIN((L$4+6),IF($G15="",(L$4+6),$G15)))-YEAR($F15))*12+MONTH(MIN((L$4+6),IF($G15="",(L$4+6),$G15)))-MONTH($F15)-IF(DAY(MIN((L$4+6),IF($G15="",(L$4+6),$G15)))&lt;DAY($F15),1,0))/3)+1,INT(((YEAR(MIN((L$4+6),IF($G15="",(L$4+6),$G15)))-YEAR($F15))*12+MONTH(MIN((L$4+6),IF($G15="",(L$4+6),$G15)))-MONTH($F15)-IF(DAY(MIN((L$4+6),IF($G15="",(L$4+6),$G15)))&lt;DAY($F15),1,0))/12)+1,1))-IF((L$4-1)&lt;$F15,0,CHOOSE(MATCH($E15,{"Weekly","Every 2 weeks","Monthly","Quarterly","Yearly","One-time"},0),INT(((L$4-1)-$F15)/7)+1,INT(((L$4-1)-$F15)/14)+1,((YEAR((L$4-1))-YEAR($F15))*12+MONTH((L$4-1))-MONTH($F15)-IF(DAY((L$4-1))&lt;DAY($F15),1,0))+1,INT(((YEAR((L$4-1))-YEAR($F15))*12+MONTH((L$4-1))-MONTH($F15)-IF(DAY((L$4-1))&lt;DAY($F15),1,0))/3)+1,INT(((YEAR((L$4-1))-YEAR($F15))*12+MONTH((L$4-1))-MONTH($F15)-IF(DAY((L$4-1))&lt;DAY($F15),1,0))/12)+1,1))),0)*$D15)</f>
        <v>0</v>
      </c>
      <c r="M15" s="50"/>
      <c r="N15" s="50"/>
      <c r="O15" s="50"/>
      <c r="P15" s="50"/>
      <c r="Q15" s="50"/>
      <c r="R15" s="50"/>
      <c r="S15" s="50"/>
      <c r="T15" s="50"/>
      <c r="U15" s="50"/>
    </row>
    <row r="16" customFormat="false" ht="15" hidden="false" customHeight="true" outlineLevel="0" collapsed="false">
      <c r="A16" s="46" t="s">
        <v>113</v>
      </c>
      <c r="B16" s="46" t="s">
        <v>69</v>
      </c>
      <c r="C16" s="46" t="s">
        <v>111</v>
      </c>
      <c r="D16" s="47" t="n">
        <v>2800</v>
      </c>
      <c r="E16" s="46" t="s">
        <v>114</v>
      </c>
      <c r="F16" s="48" t="n">
        <v>46329</v>
      </c>
      <c r="G16" s="48"/>
      <c r="I16" s="49" t="n">
        <f aca="false">IF(OR($A16="",$D16="",$E16="",$F16=""),0,IFERROR(MAX(0,IF(MIN((I$4+6),IF($G16="",(I$4+6),$G16))&lt;$F16,0,CHOOSE(MATCH($E16,{"Weekly","Every 2 weeks","Monthly","Quarterly","Yearly","One-time"},0),INT((MIN((I$4+6),IF($G16="",(I$4+6),$G16))-$F16)/7)+1,INT((MIN((I$4+6),IF($G16="",(I$4+6),$G16))-$F16)/14)+1,((YEAR(MIN((I$4+6),IF($G16="",(I$4+6),$G16)))-YEAR($F16))*12+MONTH(MIN((I$4+6),IF($G16="",(I$4+6),$G16)))-MONTH($F16)-IF(DAY(MIN((I$4+6),IF($G16="",(I$4+6),$G16)))&lt;DAY($F16),1,0))+1,INT(((YEAR(MIN((I$4+6),IF($G16="",(I$4+6),$G16)))-YEAR($F16))*12+MONTH(MIN((I$4+6),IF($G16="",(I$4+6),$G16)))-MONTH($F16)-IF(DAY(MIN((I$4+6),IF($G16="",(I$4+6),$G16)))&lt;DAY($F16),1,0))/3)+1,INT(((YEAR(MIN((I$4+6),IF($G16="",(I$4+6),$G16)))-YEAR($F16))*12+MONTH(MIN((I$4+6),IF($G16="",(I$4+6),$G16)))-MONTH($F16)-IF(DAY(MIN((I$4+6),IF($G16="",(I$4+6),$G16)))&lt;DAY($F16),1,0))/12)+1,1))-IF((I$4-1)&lt;$F16,0,CHOOSE(MATCH($E16,{"Weekly","Every 2 weeks","Monthly","Quarterly","Yearly","One-time"},0),INT(((I$4-1)-$F16)/7)+1,INT(((I$4-1)-$F16)/14)+1,((YEAR((I$4-1))-YEAR($F16))*12+MONTH((I$4-1))-MONTH($F16)-IF(DAY((I$4-1))&lt;DAY($F16),1,0))+1,INT(((YEAR((I$4-1))-YEAR($F16))*12+MONTH((I$4-1))-MONTH($F16)-IF(DAY((I$4-1))&lt;DAY($F16),1,0))/3)+1,INT(((YEAR((I$4-1))-YEAR($F16))*12+MONTH((I$4-1))-MONTH($F16)-IF(DAY((I$4-1))&lt;DAY($F16),1,0))/12)+1,1))),0)*$D16)</f>
        <v>2800</v>
      </c>
      <c r="J16" s="49" t="n">
        <f aca="false">IF(OR($A16="",$D16="",$E16="",$F16=""),0,IFERROR(MAX(0,IF(MIN((J$4+6),IF($G16="",(J$4+6),$G16))&lt;$F16,0,CHOOSE(MATCH($E16,{"Weekly","Every 2 weeks","Monthly","Quarterly","Yearly","One-time"},0),INT((MIN((J$4+6),IF($G16="",(J$4+6),$G16))-$F16)/7)+1,INT((MIN((J$4+6),IF($G16="",(J$4+6),$G16))-$F16)/14)+1,((YEAR(MIN((J$4+6),IF($G16="",(J$4+6),$G16)))-YEAR($F16))*12+MONTH(MIN((J$4+6),IF($G16="",(J$4+6),$G16)))-MONTH($F16)-IF(DAY(MIN((J$4+6),IF($G16="",(J$4+6),$G16)))&lt;DAY($F16),1,0))+1,INT(((YEAR(MIN((J$4+6),IF($G16="",(J$4+6),$G16)))-YEAR($F16))*12+MONTH(MIN((J$4+6),IF($G16="",(J$4+6),$G16)))-MONTH($F16)-IF(DAY(MIN((J$4+6),IF($G16="",(J$4+6),$G16)))&lt;DAY($F16),1,0))/3)+1,INT(((YEAR(MIN((J$4+6),IF($G16="",(J$4+6),$G16)))-YEAR($F16))*12+MONTH(MIN((J$4+6),IF($G16="",(J$4+6),$G16)))-MONTH($F16)-IF(DAY(MIN((J$4+6),IF($G16="",(J$4+6),$G16)))&lt;DAY($F16),1,0))/12)+1,1))-IF((J$4-1)&lt;$F16,0,CHOOSE(MATCH($E16,{"Weekly","Every 2 weeks","Monthly","Quarterly","Yearly","One-time"},0),INT(((J$4-1)-$F16)/7)+1,INT(((J$4-1)-$F16)/14)+1,((YEAR((J$4-1))-YEAR($F16))*12+MONTH((J$4-1))-MONTH($F16)-IF(DAY((J$4-1))&lt;DAY($F16),1,0))+1,INT(((YEAR((J$4-1))-YEAR($F16))*12+MONTH((J$4-1))-MONTH($F16)-IF(DAY((J$4-1))&lt;DAY($F16),1,0))/3)+1,INT(((YEAR((J$4-1))-YEAR($F16))*12+MONTH((J$4-1))-MONTH($F16)-IF(DAY((J$4-1))&lt;DAY($F16),1,0))/12)+1,1))),0)*$D16)</f>
        <v>2800</v>
      </c>
      <c r="K16" s="49" t="n">
        <f aca="false">IF(OR($A16="",$D16="",$E16="",$F16=""),0,IFERROR(MAX(0,IF(MIN((K$4+6),IF($G16="",(K$4+6),$G16))&lt;$F16,0,CHOOSE(MATCH($E16,{"Weekly","Every 2 weeks","Monthly","Quarterly","Yearly","One-time"},0),INT((MIN((K$4+6),IF($G16="",(K$4+6),$G16))-$F16)/7)+1,INT((MIN((K$4+6),IF($G16="",(K$4+6),$G16))-$F16)/14)+1,((YEAR(MIN((K$4+6),IF($G16="",(K$4+6),$G16)))-YEAR($F16))*12+MONTH(MIN((K$4+6),IF($G16="",(K$4+6),$G16)))-MONTH($F16)-IF(DAY(MIN((K$4+6),IF($G16="",(K$4+6),$G16)))&lt;DAY($F16),1,0))+1,INT(((YEAR(MIN((K$4+6),IF($G16="",(K$4+6),$G16)))-YEAR($F16))*12+MONTH(MIN((K$4+6),IF($G16="",(K$4+6),$G16)))-MONTH($F16)-IF(DAY(MIN((K$4+6),IF($G16="",(K$4+6),$G16)))&lt;DAY($F16),1,0))/3)+1,INT(((YEAR(MIN((K$4+6),IF($G16="",(K$4+6),$G16)))-YEAR($F16))*12+MONTH(MIN((K$4+6),IF($G16="",(K$4+6),$G16)))-MONTH($F16)-IF(DAY(MIN((K$4+6),IF($G16="",(K$4+6),$G16)))&lt;DAY($F16),1,0))/12)+1,1))-IF((K$4-1)&lt;$F16,0,CHOOSE(MATCH($E16,{"Weekly","Every 2 weeks","Monthly","Quarterly","Yearly","One-time"},0),INT(((K$4-1)-$F16)/7)+1,INT(((K$4-1)-$F16)/14)+1,((YEAR((K$4-1))-YEAR($F16))*12+MONTH((K$4-1))-MONTH($F16)-IF(DAY((K$4-1))&lt;DAY($F16),1,0))+1,INT(((YEAR((K$4-1))-YEAR($F16))*12+MONTH((K$4-1))-MONTH($F16)-IF(DAY((K$4-1))&lt;DAY($F16),1,0))/3)+1,INT(((YEAR((K$4-1))-YEAR($F16))*12+MONTH((K$4-1))-MONTH($F16)-IF(DAY((K$4-1))&lt;DAY($F16),1,0))/12)+1,1))),0)*$D16)</f>
        <v>2800</v>
      </c>
      <c r="L16" s="49" t="n">
        <f aca="false">IF(OR($A16="",$D16="",$E16="",$F16=""),0,IFERROR(MAX(0,IF(MIN((L$4+6),IF($G16="",(L$4+6),$G16))&lt;$F16,0,CHOOSE(MATCH($E16,{"Weekly","Every 2 weeks","Monthly","Quarterly","Yearly","One-time"},0),INT((MIN((L$4+6),IF($G16="",(L$4+6),$G16))-$F16)/7)+1,INT((MIN((L$4+6),IF($G16="",(L$4+6),$G16))-$F16)/14)+1,((YEAR(MIN((L$4+6),IF($G16="",(L$4+6),$G16)))-YEAR($F16))*12+MONTH(MIN((L$4+6),IF($G16="",(L$4+6),$G16)))-MONTH($F16)-IF(DAY(MIN((L$4+6),IF($G16="",(L$4+6),$G16)))&lt;DAY($F16),1,0))+1,INT(((YEAR(MIN((L$4+6),IF($G16="",(L$4+6),$G16)))-YEAR($F16))*12+MONTH(MIN((L$4+6),IF($G16="",(L$4+6),$G16)))-MONTH($F16)-IF(DAY(MIN((L$4+6),IF($G16="",(L$4+6),$G16)))&lt;DAY($F16),1,0))/3)+1,INT(((YEAR(MIN((L$4+6),IF($G16="",(L$4+6),$G16)))-YEAR($F16))*12+MONTH(MIN((L$4+6),IF($G16="",(L$4+6),$G16)))-MONTH($F16)-IF(DAY(MIN((L$4+6),IF($G16="",(L$4+6),$G16)))&lt;DAY($F16),1,0))/12)+1,1))-IF((L$4-1)&lt;$F16,0,CHOOSE(MATCH($E16,{"Weekly","Every 2 weeks","Monthly","Quarterly","Yearly","One-time"},0),INT(((L$4-1)-$F16)/7)+1,INT(((L$4-1)-$F16)/14)+1,((YEAR((L$4-1))-YEAR($F16))*12+MONTH((L$4-1))-MONTH($F16)-IF(DAY((L$4-1))&lt;DAY($F16),1,0))+1,INT(((YEAR((L$4-1))-YEAR($F16))*12+MONTH((L$4-1))-MONTH($F16)-IF(DAY((L$4-1))&lt;DAY($F16),1,0))/3)+1,INT(((YEAR((L$4-1))-YEAR($F16))*12+MONTH((L$4-1))-MONTH($F16)-IF(DAY((L$4-1))&lt;DAY($F16),1,0))/12)+1,1))),0)*$D16)</f>
        <v>2800</v>
      </c>
      <c r="M16" s="50"/>
      <c r="N16" s="50"/>
      <c r="O16" s="50"/>
      <c r="P16" s="50"/>
      <c r="Q16" s="50"/>
      <c r="R16" s="50"/>
      <c r="S16" s="50"/>
      <c r="T16" s="50"/>
      <c r="U16" s="50"/>
    </row>
    <row r="17" customFormat="false" ht="15" hidden="false" customHeight="true" outlineLevel="0" collapsed="false">
      <c r="A17" s="51" t="s">
        <v>115</v>
      </c>
      <c r="B17" s="52"/>
      <c r="C17" s="52"/>
      <c r="D17" s="28"/>
      <c r="E17" s="52"/>
      <c r="F17" s="20"/>
      <c r="G17" s="2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</row>
    <row r="18" customFormat="false" ht="15" hidden="false" customHeight="true" outlineLevel="0" collapsed="false">
      <c r="A18" s="52"/>
      <c r="B18" s="52"/>
      <c r="C18" s="52"/>
      <c r="D18" s="28"/>
      <c r="E18" s="52"/>
      <c r="F18" s="20"/>
      <c r="G18" s="2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</row>
    <row r="19" customFormat="false" ht="15" hidden="false" customHeight="true" outlineLevel="0" collapsed="false">
      <c r="A19" s="52"/>
      <c r="B19" s="52"/>
      <c r="C19" s="52"/>
      <c r="D19" s="28"/>
      <c r="E19" s="52"/>
      <c r="F19" s="20"/>
      <c r="G19" s="2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</row>
    <row r="20" customFormat="false" ht="15" hidden="false" customHeight="true" outlineLevel="0" collapsed="false">
      <c r="A20" s="52"/>
      <c r="B20" s="52"/>
      <c r="C20" s="52"/>
      <c r="D20" s="28"/>
      <c r="E20" s="52"/>
      <c r="F20" s="20"/>
      <c r="G20" s="2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</row>
    <row r="21" customFormat="false" ht="15" hidden="false" customHeight="true" outlineLevel="0" collapsed="false">
      <c r="A21" s="52"/>
      <c r="B21" s="52"/>
      <c r="C21" s="52"/>
      <c r="D21" s="28"/>
      <c r="E21" s="52"/>
      <c r="F21" s="20"/>
      <c r="G21" s="2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</row>
    <row r="22" customFormat="false" ht="15" hidden="false" customHeight="true" outlineLevel="0" collapsed="false">
      <c r="A22" s="52"/>
      <c r="B22" s="52"/>
      <c r="C22" s="52"/>
      <c r="D22" s="28"/>
      <c r="E22" s="52"/>
      <c r="F22" s="20"/>
      <c r="G22" s="2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</row>
    <row r="23" customFormat="false" ht="15" hidden="false" customHeight="true" outlineLevel="0" collapsed="false">
      <c r="A23" s="52"/>
      <c r="B23" s="52"/>
      <c r="C23" s="52"/>
      <c r="D23" s="28"/>
      <c r="E23" s="52"/>
      <c r="F23" s="20"/>
      <c r="G23" s="2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</row>
    <row r="24" customFormat="false" ht="15" hidden="false" customHeight="true" outlineLevel="0" collapsed="false">
      <c r="A24" s="52"/>
      <c r="B24" s="52"/>
      <c r="C24" s="52"/>
      <c r="D24" s="28"/>
      <c r="E24" s="52"/>
      <c r="F24" s="20"/>
      <c r="G24" s="2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</row>
    <row r="25" customFormat="false" ht="15" hidden="false" customHeight="true" outlineLevel="0" collapsed="false">
      <c r="A25" s="52"/>
      <c r="B25" s="52"/>
      <c r="C25" s="52"/>
      <c r="D25" s="28"/>
      <c r="E25" s="52"/>
      <c r="F25" s="20"/>
      <c r="G25" s="2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</row>
    <row r="26" customFormat="false" ht="15" hidden="false" customHeight="true" outlineLevel="0" collapsed="false">
      <c r="A26" s="52"/>
      <c r="B26" s="52"/>
      <c r="C26" s="52"/>
      <c r="D26" s="28"/>
      <c r="E26" s="52"/>
      <c r="F26" s="20"/>
      <c r="G26" s="2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</row>
    <row r="27" customFormat="false" ht="15" hidden="false" customHeight="true" outlineLevel="0" collapsed="false">
      <c r="A27" s="52"/>
      <c r="B27" s="52"/>
      <c r="C27" s="52"/>
      <c r="D27" s="28"/>
      <c r="E27" s="52"/>
      <c r="F27" s="20"/>
      <c r="G27" s="2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</row>
    <row r="28" customFormat="false" ht="15" hidden="false" customHeight="true" outlineLevel="0" collapsed="false">
      <c r="A28" s="52"/>
      <c r="B28" s="52"/>
      <c r="C28" s="52"/>
      <c r="D28" s="28"/>
      <c r="E28" s="52"/>
      <c r="F28" s="20"/>
      <c r="G28" s="2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</row>
    <row r="29" customFormat="false" ht="15" hidden="false" customHeight="true" outlineLevel="0" collapsed="false">
      <c r="A29" s="52"/>
      <c r="B29" s="52"/>
      <c r="C29" s="52"/>
      <c r="D29" s="28"/>
      <c r="E29" s="52"/>
      <c r="F29" s="20"/>
      <c r="G29" s="2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</row>
    <row r="30" customFormat="false" ht="15" hidden="false" customHeight="true" outlineLevel="0" collapsed="false">
      <c r="A30" s="52"/>
      <c r="B30" s="52"/>
      <c r="C30" s="52"/>
      <c r="D30" s="28"/>
      <c r="E30" s="52"/>
      <c r="F30" s="20"/>
      <c r="G30" s="2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</row>
    <row r="31" customFormat="false" ht="15" hidden="false" customHeight="true" outlineLevel="0" collapsed="false">
      <c r="A31" s="52"/>
      <c r="B31" s="52"/>
      <c r="C31" s="52"/>
      <c r="D31" s="28"/>
      <c r="E31" s="52"/>
      <c r="F31" s="20"/>
      <c r="G31" s="2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</row>
    <row r="32" customFormat="false" ht="15" hidden="false" customHeight="true" outlineLevel="0" collapsed="false">
      <c r="A32" s="52"/>
      <c r="B32" s="52"/>
      <c r="C32" s="52"/>
      <c r="D32" s="28"/>
      <c r="E32" s="52"/>
      <c r="F32" s="20"/>
      <c r="G32" s="2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</row>
    <row r="33" customFormat="false" ht="15" hidden="false" customHeight="true" outlineLevel="0" collapsed="false">
      <c r="A33" s="52"/>
      <c r="B33" s="52"/>
      <c r="C33" s="52"/>
      <c r="D33" s="28"/>
      <c r="E33" s="52"/>
      <c r="F33" s="20"/>
      <c r="G33" s="2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</row>
    <row r="34" customFormat="false" ht="15" hidden="false" customHeight="true" outlineLevel="0" collapsed="false">
      <c r="A34" s="52"/>
      <c r="B34" s="52"/>
      <c r="C34" s="52"/>
      <c r="D34" s="28"/>
      <c r="E34" s="52"/>
      <c r="F34" s="20"/>
      <c r="G34" s="2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</row>
    <row r="35" customFormat="false" ht="15" hidden="false" customHeight="true" outlineLevel="0" collapsed="false">
      <c r="A35" s="52"/>
      <c r="B35" s="52"/>
      <c r="C35" s="52"/>
      <c r="D35" s="28"/>
      <c r="E35" s="52"/>
      <c r="F35" s="20"/>
      <c r="G35" s="2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</row>
    <row r="36" customFormat="false" ht="15" hidden="false" customHeight="true" outlineLevel="0" collapsed="false">
      <c r="A36" s="52"/>
      <c r="B36" s="52"/>
      <c r="C36" s="52"/>
      <c r="D36" s="28"/>
      <c r="E36" s="52"/>
      <c r="F36" s="20"/>
      <c r="G36" s="2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</row>
    <row r="37" customFormat="false" ht="15" hidden="false" customHeight="true" outlineLevel="0" collapsed="false">
      <c r="A37" s="52"/>
      <c r="B37" s="52"/>
      <c r="C37" s="52"/>
      <c r="D37" s="28"/>
      <c r="E37" s="52"/>
      <c r="F37" s="20"/>
      <c r="G37" s="2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</row>
    <row r="38" customFormat="false" ht="15" hidden="false" customHeight="true" outlineLevel="0" collapsed="false">
      <c r="A38" s="52"/>
      <c r="B38" s="52"/>
      <c r="C38" s="52"/>
      <c r="D38" s="28"/>
      <c r="E38" s="52"/>
      <c r="F38" s="20"/>
      <c r="G38" s="2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</row>
    <row r="39" customFormat="false" ht="15" hidden="false" customHeight="true" outlineLevel="0" collapsed="false">
      <c r="A39" s="52"/>
      <c r="B39" s="52"/>
      <c r="C39" s="52"/>
      <c r="D39" s="28"/>
      <c r="E39" s="52"/>
      <c r="F39" s="20"/>
      <c r="G39" s="2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</row>
    <row r="40" customFormat="false" ht="15" hidden="false" customHeight="true" outlineLevel="0" collapsed="false">
      <c r="A40" s="52"/>
      <c r="B40" s="52"/>
      <c r="C40" s="52"/>
      <c r="D40" s="28"/>
      <c r="E40" s="52"/>
      <c r="F40" s="20"/>
      <c r="G40" s="2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</row>
    <row r="41" customFormat="false" ht="15" hidden="false" customHeight="true" outlineLevel="0" collapsed="false">
      <c r="A41" s="52"/>
      <c r="B41" s="52"/>
      <c r="C41" s="52"/>
      <c r="D41" s="28"/>
      <c r="E41" s="52"/>
      <c r="F41" s="20"/>
      <c r="G41" s="2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</row>
    <row r="42" customFormat="false" ht="15" hidden="false" customHeight="true" outlineLevel="0" collapsed="false">
      <c r="A42" s="52"/>
      <c r="B42" s="52"/>
      <c r="C42" s="52"/>
      <c r="D42" s="28"/>
      <c r="E42" s="52"/>
      <c r="F42" s="20"/>
      <c r="G42" s="2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</row>
    <row r="43" customFormat="false" ht="15" hidden="false" customHeight="true" outlineLevel="0" collapsed="false">
      <c r="A43" s="52"/>
      <c r="B43" s="52"/>
      <c r="C43" s="52"/>
      <c r="D43" s="28"/>
      <c r="E43" s="52"/>
      <c r="F43" s="20"/>
      <c r="G43" s="2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</row>
    <row r="44" customFormat="false" ht="15" hidden="false" customHeight="true" outlineLevel="0" collapsed="false">
      <c r="A44" s="52"/>
      <c r="B44" s="52"/>
      <c r="C44" s="52"/>
      <c r="D44" s="28"/>
      <c r="E44" s="52"/>
      <c r="F44" s="20"/>
      <c r="G44" s="2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</row>
    <row r="45" customFormat="false" ht="15" hidden="false" customHeight="true" outlineLevel="0" collapsed="false">
      <c r="A45" s="52"/>
      <c r="B45" s="52"/>
      <c r="C45" s="52"/>
      <c r="D45" s="28"/>
      <c r="E45" s="52"/>
      <c r="F45" s="20"/>
      <c r="G45" s="2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</row>
    <row r="46" customFormat="false" ht="15" hidden="false" customHeight="true" outlineLevel="0" collapsed="false">
      <c r="A46" s="52"/>
      <c r="B46" s="52"/>
      <c r="C46" s="52"/>
      <c r="D46" s="28"/>
      <c r="E46" s="52"/>
      <c r="F46" s="20"/>
      <c r="G46" s="2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</row>
    <row r="47" customFormat="false" ht="15" hidden="false" customHeight="true" outlineLevel="0" collapsed="false">
      <c r="A47" s="52"/>
      <c r="B47" s="52"/>
      <c r="C47" s="52"/>
      <c r="D47" s="28"/>
      <c r="E47" s="52"/>
      <c r="F47" s="20"/>
      <c r="G47" s="2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</row>
    <row r="48" customFormat="false" ht="15" hidden="false" customHeight="true" outlineLevel="0" collapsed="false">
      <c r="A48" s="52"/>
      <c r="B48" s="52"/>
      <c r="C48" s="52"/>
      <c r="D48" s="28"/>
      <c r="E48" s="52"/>
      <c r="F48" s="20"/>
      <c r="G48" s="2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</row>
    <row r="49" customFormat="false" ht="15" hidden="false" customHeight="true" outlineLevel="0" collapsed="false">
      <c r="A49" s="52"/>
      <c r="B49" s="52"/>
      <c r="C49" s="52"/>
      <c r="D49" s="28"/>
      <c r="E49" s="52"/>
      <c r="F49" s="20"/>
      <c r="G49" s="2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</row>
    <row r="50" customFormat="false" ht="15" hidden="false" customHeight="true" outlineLevel="0" collapsed="false">
      <c r="A50" s="52"/>
      <c r="B50" s="52"/>
      <c r="C50" s="52"/>
      <c r="D50" s="28"/>
      <c r="E50" s="52"/>
      <c r="F50" s="20"/>
      <c r="G50" s="2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</row>
    <row r="51" customFormat="false" ht="15" hidden="false" customHeight="true" outlineLevel="0" collapsed="false">
      <c r="A51" s="52"/>
      <c r="B51" s="52"/>
      <c r="C51" s="52"/>
      <c r="D51" s="28"/>
      <c r="E51" s="52"/>
      <c r="F51" s="20"/>
      <c r="G51" s="2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</row>
    <row r="52" customFormat="false" ht="15" hidden="false" customHeight="true" outlineLevel="0" collapsed="false">
      <c r="A52" s="52"/>
      <c r="B52" s="52"/>
      <c r="C52" s="52"/>
      <c r="D52" s="28"/>
      <c r="E52" s="52"/>
      <c r="F52" s="20"/>
      <c r="G52" s="2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</row>
    <row r="53" customFormat="false" ht="15" hidden="false" customHeight="true" outlineLevel="0" collapsed="false">
      <c r="A53" s="52"/>
      <c r="B53" s="52"/>
      <c r="C53" s="52"/>
      <c r="D53" s="28"/>
      <c r="E53" s="52"/>
      <c r="F53" s="20"/>
      <c r="G53" s="2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</row>
    <row r="54" customFormat="false" ht="15" hidden="false" customHeight="true" outlineLevel="0" collapsed="false">
      <c r="A54" s="52"/>
      <c r="B54" s="52"/>
      <c r="C54" s="52"/>
      <c r="D54" s="28"/>
      <c r="E54" s="52"/>
      <c r="F54" s="20"/>
      <c r="G54" s="2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</row>
    <row r="55" customFormat="false" ht="15" hidden="false" customHeight="true" outlineLevel="0" collapsed="false">
      <c r="A55" s="52"/>
      <c r="B55" s="52"/>
      <c r="C55" s="52"/>
      <c r="D55" s="28"/>
      <c r="E55" s="52"/>
      <c r="F55" s="20"/>
      <c r="G55" s="2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</row>
    <row r="56" customFormat="false" ht="15" hidden="false" customHeight="true" outlineLevel="0" collapsed="false">
      <c r="A56" s="52"/>
      <c r="B56" s="52"/>
      <c r="C56" s="52"/>
      <c r="D56" s="28"/>
      <c r="E56" s="52"/>
      <c r="F56" s="20"/>
      <c r="G56" s="2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</row>
    <row r="57" customFormat="false" ht="15" hidden="false" customHeight="true" outlineLevel="0" collapsed="false">
      <c r="A57" s="52"/>
      <c r="B57" s="52"/>
      <c r="C57" s="52"/>
      <c r="D57" s="28"/>
      <c r="E57" s="52"/>
      <c r="F57" s="20"/>
      <c r="G57" s="2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</row>
    <row r="58" customFormat="false" ht="15" hidden="false" customHeight="true" outlineLevel="0" collapsed="false">
      <c r="A58" s="52"/>
      <c r="B58" s="52"/>
      <c r="C58" s="52"/>
      <c r="D58" s="28"/>
      <c r="E58" s="52"/>
      <c r="F58" s="20"/>
      <c r="G58" s="2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</row>
    <row r="59" customFormat="false" ht="15" hidden="false" customHeight="true" outlineLevel="0" collapsed="false">
      <c r="A59" s="52"/>
      <c r="B59" s="52"/>
      <c r="C59" s="52"/>
      <c r="D59" s="28"/>
      <c r="E59" s="52"/>
      <c r="F59" s="20"/>
      <c r="G59" s="2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</row>
    <row r="60" customFormat="false" ht="15" hidden="false" customHeight="true" outlineLevel="0" collapsed="false">
      <c r="A60" s="52"/>
      <c r="B60" s="52"/>
      <c r="C60" s="52"/>
      <c r="D60" s="28"/>
      <c r="E60" s="52"/>
      <c r="F60" s="20"/>
      <c r="G60" s="2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</row>
    <row r="61" customFormat="false" ht="15" hidden="false" customHeight="true" outlineLevel="0" collapsed="false">
      <c r="A61" s="52"/>
      <c r="B61" s="52"/>
      <c r="C61" s="52"/>
      <c r="D61" s="28"/>
      <c r="E61" s="52"/>
      <c r="F61" s="20"/>
      <c r="G61" s="2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</row>
    <row r="62" customFormat="false" ht="15" hidden="false" customHeight="true" outlineLevel="0" collapsed="false">
      <c r="A62" s="52"/>
      <c r="B62" s="52"/>
      <c r="C62" s="52"/>
      <c r="D62" s="28"/>
      <c r="E62" s="52"/>
      <c r="F62" s="20"/>
      <c r="G62" s="2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</row>
    <row r="63" customFormat="false" ht="15" hidden="false" customHeight="true" outlineLevel="0" collapsed="false">
      <c r="A63" s="52"/>
      <c r="B63" s="52"/>
      <c r="C63" s="52"/>
      <c r="D63" s="28"/>
      <c r="E63" s="52"/>
      <c r="F63" s="20"/>
      <c r="G63" s="2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</row>
    <row r="64" customFormat="false" ht="15" hidden="false" customHeight="true" outlineLevel="0" collapsed="false">
      <c r="A64" s="52"/>
      <c r="B64" s="52"/>
      <c r="C64" s="52"/>
      <c r="D64" s="28"/>
      <c r="E64" s="52"/>
      <c r="F64" s="20"/>
      <c r="G64" s="2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</row>
  </sheetData>
  <dataValidations count="5">
    <dataValidation allowBlank="true" error="Please enter a number of 0 or more." errorStyle="stop" errorTitle="Number" operator="greaterThanOrEqual" showDropDown="false" showErrorMessage="true" showInputMessage="false" sqref="D5:D64" type="decimal">
      <formula1>0</formula1>
      <formula2>0</formula2>
    </dataValidation>
    <dataValidation allowBlank="true" errorStyle="stop" operator="between" showDropDown="false" showErrorMessage="false" showInputMessage="false" sqref="B5:B64" type="list">
      <formula1>Settings!$F$5:$F$13</formula1>
      <formula2>0</formula2>
    </dataValidation>
    <dataValidation allowBlank="true" errorStyle="stop" operator="between" showDropDown="false" showErrorMessage="false" showInputMessage="false" sqref="C5:C64" type="list">
      <formula1>"Inflow,Outflow"</formula1>
      <formula2>0</formula2>
    </dataValidation>
    <dataValidation allowBlank="true" errorStyle="stop" operator="between" showDropDown="false" showErrorMessage="false" showInputMessage="false" sqref="E5:E64" type="list">
      <formula1>"Weekly,Every 2 weeks,Monthly,Quarterly,Yearly,One-time"</formula1>
      <formula2>0</formula2>
    </dataValidation>
    <dataValidation allowBlank="true" error="Please enter a date, e.g. 2026-11-02" errorStyle="stop" errorTitle="Date" operator="greaterThan" showDropDown="false" showErrorMessage="true" showInputMessage="false" sqref="F5:G64" type="date">
      <formula1>DATE(2000,1,1)</formula1>
      <formula2>0</formula2>
    </dataValidation>
  </dataValidations>
  <hyperlinks>
    <hyperlink ref="A17" r:id="rId1" display="Full version: up to 60 recurring items →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A441"/>
    <pageSetUpPr fitToPage="true"/>
  </sheetPr>
  <dimension ref="A1:K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5" min="2" style="1" width="12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8" min="8" style="1" width="30"/>
    <col collapsed="false" customWidth="true" hidden="false" outlineLevel="0" max="10" min="10" style="1" width="30"/>
    <col collapsed="false" customWidth="true" hidden="false" outlineLevel="0" max="11" min="11" style="1" width="14"/>
  </cols>
  <sheetData>
    <row r="1" customFormat="false" ht="30" hidden="false" customHeight="true" outlineLevel="0" collapsed="false">
      <c r="A1" s="9" t="s">
        <v>116</v>
      </c>
    </row>
    <row r="2" customFormat="false" ht="15" hidden="false" customHeight="true" outlineLevel="0" collapsed="false">
      <c r="A2" s="10" t="s">
        <v>117</v>
      </c>
    </row>
    <row r="4" customFormat="false" ht="30" hidden="false" customHeight="true" outlineLevel="0" collapsed="false">
      <c r="A4" s="12" t="s">
        <v>118</v>
      </c>
      <c r="B4" s="12" t="s">
        <v>119</v>
      </c>
      <c r="C4" s="12" t="s">
        <v>92</v>
      </c>
      <c r="D4" s="12" t="s">
        <v>120</v>
      </c>
      <c r="E4" s="12" t="s">
        <v>121</v>
      </c>
      <c r="F4" s="12" t="s">
        <v>122</v>
      </c>
      <c r="G4" s="12" t="s">
        <v>53</v>
      </c>
      <c r="H4" s="12" t="s">
        <v>123</v>
      </c>
      <c r="J4" s="14" t="s">
        <v>124</v>
      </c>
      <c r="K4" s="29" t="n">
        <f aca="false">SUMIFS(C5:C64,G5:G64,"Open")</f>
        <v>81900</v>
      </c>
    </row>
    <row r="5" customFormat="false" ht="15" hidden="false" customHeight="true" outlineLevel="0" collapsed="false">
      <c r="A5" s="46" t="s">
        <v>125</v>
      </c>
      <c r="B5" s="46" t="s">
        <v>126</v>
      </c>
      <c r="C5" s="47" t="n">
        <v>14500</v>
      </c>
      <c r="D5" s="48" t="n">
        <v>46323</v>
      </c>
      <c r="E5" s="53"/>
      <c r="F5" s="19" t="n">
        <f aca="false">IF(OR(C5="",D5=""),"",D5+IF(E5="",Settings!$B$16,E5)+Settings!$E$23)</f>
        <v>46330</v>
      </c>
      <c r="G5" s="46" t="s">
        <v>127</v>
      </c>
      <c r="H5" s="46"/>
      <c r="J5" s="18" t="s">
        <v>128</v>
      </c>
      <c r="K5" s="27" t="n">
        <f aca="false">SUMIFS(C5:C64,G5:G64,"Open",F5:F64,"&lt;"&amp;Settings!$B$6)</f>
        <v>0</v>
      </c>
    </row>
    <row r="6" customFormat="false" ht="15" hidden="false" customHeight="true" outlineLevel="0" collapsed="false">
      <c r="A6" s="46" t="s">
        <v>129</v>
      </c>
      <c r="B6" s="46" t="s">
        <v>130</v>
      </c>
      <c r="C6" s="47" t="n">
        <v>9800</v>
      </c>
      <c r="D6" s="48" t="n">
        <v>46336</v>
      </c>
      <c r="E6" s="53"/>
      <c r="F6" s="19" t="n">
        <f aca="false">IF(OR(C6="",D6=""),"",D6+IF(E6="",Settings!$B$16,E6)+Settings!$E$23)</f>
        <v>46343</v>
      </c>
      <c r="G6" s="46" t="s">
        <v>127</v>
      </c>
      <c r="H6" s="46"/>
    </row>
    <row r="7" customFormat="false" ht="15" hidden="false" customHeight="true" outlineLevel="0" collapsed="false">
      <c r="A7" s="46" t="s">
        <v>131</v>
      </c>
      <c r="B7" s="46" t="s">
        <v>132</v>
      </c>
      <c r="C7" s="47" t="n">
        <v>22000</v>
      </c>
      <c r="D7" s="48" t="n">
        <v>46346</v>
      </c>
      <c r="E7" s="53" t="n">
        <v>30</v>
      </c>
      <c r="F7" s="19" t="n">
        <f aca="false">IF(OR(C7="",D7=""),"",D7+IF(E7="",Settings!$B$16,E7)+Settings!$E$23)</f>
        <v>46376</v>
      </c>
      <c r="G7" s="46" t="s">
        <v>127</v>
      </c>
      <c r="H7" s="46"/>
    </row>
    <row r="8" customFormat="false" ht="15" hidden="false" customHeight="true" outlineLevel="0" collapsed="false">
      <c r="A8" s="46" t="s">
        <v>133</v>
      </c>
      <c r="B8" s="46" t="s">
        <v>134</v>
      </c>
      <c r="C8" s="47" t="n">
        <v>6400</v>
      </c>
      <c r="D8" s="48" t="n">
        <v>46357</v>
      </c>
      <c r="E8" s="53"/>
      <c r="F8" s="19" t="n">
        <f aca="false">IF(OR(C8="",D8=""),"",D8+IF(E8="",Settings!$B$16,E8)+Settings!$E$23)</f>
        <v>46364</v>
      </c>
      <c r="G8" s="46" t="s">
        <v>127</v>
      </c>
      <c r="H8" s="46"/>
    </row>
    <row r="9" customFormat="false" ht="15" hidden="false" customHeight="true" outlineLevel="0" collapsed="false">
      <c r="A9" s="46" t="s">
        <v>125</v>
      </c>
      <c r="B9" s="46" t="s">
        <v>135</v>
      </c>
      <c r="C9" s="47" t="n">
        <v>18000</v>
      </c>
      <c r="D9" s="48" t="n">
        <v>46371</v>
      </c>
      <c r="E9" s="53"/>
      <c r="F9" s="19" t="n">
        <f aca="false">IF(OR(C9="",D9=""),"",D9+IF(E9="",Settings!$B$16,E9)+Settings!$E$23)</f>
        <v>46378</v>
      </c>
      <c r="G9" s="46" t="s">
        <v>127</v>
      </c>
      <c r="H9" s="46"/>
    </row>
    <row r="10" customFormat="false" ht="15" hidden="false" customHeight="true" outlineLevel="0" collapsed="false">
      <c r="A10" s="46" t="s">
        <v>136</v>
      </c>
      <c r="B10" s="46" t="s">
        <v>137</v>
      </c>
      <c r="C10" s="47" t="n">
        <v>11200</v>
      </c>
      <c r="D10" s="48" t="n">
        <v>46392</v>
      </c>
      <c r="E10" s="53"/>
      <c r="F10" s="19" t="n">
        <f aca="false">IF(OR(C10="",D10=""),"",D10+IF(E10="",Settings!$B$16,E10)+Settings!$E$23)</f>
        <v>46399</v>
      </c>
      <c r="G10" s="46" t="s">
        <v>127</v>
      </c>
      <c r="H10" s="46"/>
    </row>
    <row r="11" customFormat="false" ht="15" hidden="false" customHeight="true" outlineLevel="0" collapsed="false">
      <c r="A11" s="51" t="s">
        <v>138</v>
      </c>
      <c r="B11" s="52"/>
      <c r="C11" s="28"/>
      <c r="D11" s="20"/>
      <c r="E11" s="54"/>
      <c r="F11" s="20"/>
      <c r="G11" s="52"/>
      <c r="H11" s="52"/>
    </row>
    <row r="12" customFormat="false" ht="15" hidden="false" customHeight="true" outlineLevel="0" collapsed="false">
      <c r="A12" s="52"/>
      <c r="B12" s="52"/>
      <c r="C12" s="28"/>
      <c r="D12" s="20"/>
      <c r="E12" s="54"/>
      <c r="F12" s="20"/>
      <c r="G12" s="52"/>
      <c r="H12" s="52"/>
    </row>
    <row r="13" customFormat="false" ht="15" hidden="false" customHeight="true" outlineLevel="0" collapsed="false">
      <c r="A13" s="52"/>
      <c r="B13" s="52"/>
      <c r="C13" s="28"/>
      <c r="D13" s="20"/>
      <c r="E13" s="54"/>
      <c r="F13" s="20"/>
      <c r="G13" s="52"/>
      <c r="H13" s="52"/>
    </row>
    <row r="14" customFormat="false" ht="15" hidden="false" customHeight="true" outlineLevel="0" collapsed="false">
      <c r="A14" s="52"/>
      <c r="B14" s="52"/>
      <c r="C14" s="28"/>
      <c r="D14" s="20"/>
      <c r="E14" s="54"/>
      <c r="F14" s="20"/>
      <c r="G14" s="52"/>
      <c r="H14" s="52"/>
    </row>
    <row r="15" customFormat="false" ht="15" hidden="false" customHeight="true" outlineLevel="0" collapsed="false">
      <c r="A15" s="52"/>
      <c r="B15" s="52"/>
      <c r="C15" s="28"/>
      <c r="D15" s="20"/>
      <c r="E15" s="54"/>
      <c r="F15" s="20"/>
      <c r="G15" s="52"/>
      <c r="H15" s="52"/>
    </row>
    <row r="16" customFormat="false" ht="15" hidden="false" customHeight="true" outlineLevel="0" collapsed="false">
      <c r="A16" s="52"/>
      <c r="B16" s="52"/>
      <c r="C16" s="28"/>
      <c r="D16" s="20"/>
      <c r="E16" s="54"/>
      <c r="F16" s="20"/>
      <c r="G16" s="52"/>
      <c r="H16" s="52"/>
    </row>
    <row r="17" customFormat="false" ht="15" hidden="false" customHeight="true" outlineLevel="0" collapsed="false">
      <c r="A17" s="52"/>
      <c r="B17" s="52"/>
      <c r="C17" s="28"/>
      <c r="D17" s="20"/>
      <c r="E17" s="54"/>
      <c r="F17" s="20"/>
      <c r="G17" s="52"/>
      <c r="H17" s="52"/>
    </row>
    <row r="18" customFormat="false" ht="15" hidden="false" customHeight="true" outlineLevel="0" collapsed="false">
      <c r="A18" s="52"/>
      <c r="B18" s="52"/>
      <c r="C18" s="28"/>
      <c r="D18" s="20"/>
      <c r="E18" s="54"/>
      <c r="F18" s="20"/>
      <c r="G18" s="52"/>
      <c r="H18" s="52"/>
    </row>
    <row r="19" customFormat="false" ht="15" hidden="false" customHeight="true" outlineLevel="0" collapsed="false">
      <c r="A19" s="52"/>
      <c r="B19" s="52"/>
      <c r="C19" s="28"/>
      <c r="D19" s="20"/>
      <c r="E19" s="54"/>
      <c r="F19" s="20"/>
      <c r="G19" s="52"/>
      <c r="H19" s="52"/>
    </row>
    <row r="20" customFormat="false" ht="15" hidden="false" customHeight="true" outlineLevel="0" collapsed="false">
      <c r="A20" s="52"/>
      <c r="B20" s="52"/>
      <c r="C20" s="28"/>
      <c r="D20" s="20"/>
      <c r="E20" s="54"/>
      <c r="F20" s="20"/>
      <c r="G20" s="52"/>
      <c r="H20" s="52"/>
    </row>
    <row r="21" customFormat="false" ht="15" hidden="false" customHeight="true" outlineLevel="0" collapsed="false">
      <c r="A21" s="52"/>
      <c r="B21" s="52"/>
      <c r="C21" s="28"/>
      <c r="D21" s="20"/>
      <c r="E21" s="54"/>
      <c r="F21" s="20"/>
      <c r="G21" s="52"/>
      <c r="H21" s="52"/>
    </row>
    <row r="22" customFormat="false" ht="15" hidden="false" customHeight="true" outlineLevel="0" collapsed="false">
      <c r="A22" s="52"/>
      <c r="B22" s="52"/>
      <c r="C22" s="28"/>
      <c r="D22" s="20"/>
      <c r="E22" s="54"/>
      <c r="F22" s="20"/>
      <c r="G22" s="52"/>
      <c r="H22" s="52"/>
    </row>
    <row r="23" customFormat="false" ht="15" hidden="false" customHeight="true" outlineLevel="0" collapsed="false">
      <c r="A23" s="52"/>
      <c r="B23" s="52"/>
      <c r="C23" s="28"/>
      <c r="D23" s="20"/>
      <c r="E23" s="54"/>
      <c r="F23" s="20"/>
      <c r="G23" s="52"/>
      <c r="H23" s="52"/>
    </row>
    <row r="24" customFormat="false" ht="15" hidden="false" customHeight="true" outlineLevel="0" collapsed="false">
      <c r="A24" s="52"/>
      <c r="B24" s="52"/>
      <c r="C24" s="28"/>
      <c r="D24" s="20"/>
      <c r="E24" s="54"/>
      <c r="F24" s="20"/>
      <c r="G24" s="52"/>
      <c r="H24" s="52"/>
    </row>
    <row r="25" customFormat="false" ht="15" hidden="false" customHeight="true" outlineLevel="0" collapsed="false">
      <c r="A25" s="52"/>
      <c r="B25" s="52"/>
      <c r="C25" s="28"/>
      <c r="D25" s="20"/>
      <c r="E25" s="54"/>
      <c r="F25" s="20"/>
      <c r="G25" s="52"/>
      <c r="H25" s="52"/>
    </row>
    <row r="26" customFormat="false" ht="15" hidden="false" customHeight="true" outlineLevel="0" collapsed="false">
      <c r="A26" s="52"/>
      <c r="B26" s="52"/>
      <c r="C26" s="28"/>
      <c r="D26" s="20"/>
      <c r="E26" s="54"/>
      <c r="F26" s="20"/>
      <c r="G26" s="52"/>
      <c r="H26" s="52"/>
    </row>
    <row r="27" customFormat="false" ht="15" hidden="false" customHeight="true" outlineLevel="0" collapsed="false">
      <c r="A27" s="52"/>
      <c r="B27" s="52"/>
      <c r="C27" s="28"/>
      <c r="D27" s="20"/>
      <c r="E27" s="54"/>
      <c r="F27" s="20"/>
      <c r="G27" s="52"/>
      <c r="H27" s="52"/>
    </row>
    <row r="28" customFormat="false" ht="15" hidden="false" customHeight="true" outlineLevel="0" collapsed="false">
      <c r="A28" s="52"/>
      <c r="B28" s="52"/>
      <c r="C28" s="28"/>
      <c r="D28" s="20"/>
      <c r="E28" s="54"/>
      <c r="F28" s="20"/>
      <c r="G28" s="52"/>
      <c r="H28" s="52"/>
    </row>
    <row r="29" customFormat="false" ht="15" hidden="false" customHeight="true" outlineLevel="0" collapsed="false">
      <c r="A29" s="52"/>
      <c r="B29" s="52"/>
      <c r="C29" s="28"/>
      <c r="D29" s="20"/>
      <c r="E29" s="54"/>
      <c r="F29" s="20"/>
      <c r="G29" s="52"/>
      <c r="H29" s="52"/>
    </row>
    <row r="30" customFormat="false" ht="15" hidden="false" customHeight="true" outlineLevel="0" collapsed="false">
      <c r="A30" s="52"/>
      <c r="B30" s="52"/>
      <c r="C30" s="28"/>
      <c r="D30" s="20"/>
      <c r="E30" s="54"/>
      <c r="F30" s="20"/>
      <c r="G30" s="52"/>
      <c r="H30" s="52"/>
    </row>
    <row r="31" customFormat="false" ht="15" hidden="false" customHeight="true" outlineLevel="0" collapsed="false">
      <c r="A31" s="52"/>
      <c r="B31" s="52"/>
      <c r="C31" s="28"/>
      <c r="D31" s="20"/>
      <c r="E31" s="54"/>
      <c r="F31" s="20"/>
      <c r="G31" s="52"/>
      <c r="H31" s="52"/>
    </row>
    <row r="32" customFormat="false" ht="15" hidden="false" customHeight="true" outlineLevel="0" collapsed="false">
      <c r="A32" s="52"/>
      <c r="B32" s="52"/>
      <c r="C32" s="28"/>
      <c r="D32" s="20"/>
      <c r="E32" s="54"/>
      <c r="F32" s="20"/>
      <c r="G32" s="52"/>
      <c r="H32" s="52"/>
    </row>
    <row r="33" customFormat="false" ht="15" hidden="false" customHeight="true" outlineLevel="0" collapsed="false">
      <c r="A33" s="52"/>
      <c r="B33" s="52"/>
      <c r="C33" s="28"/>
      <c r="D33" s="20"/>
      <c r="E33" s="54"/>
      <c r="F33" s="20"/>
      <c r="G33" s="52"/>
      <c r="H33" s="52"/>
    </row>
    <row r="34" customFormat="false" ht="15" hidden="false" customHeight="true" outlineLevel="0" collapsed="false">
      <c r="A34" s="52"/>
      <c r="B34" s="52"/>
      <c r="C34" s="28"/>
      <c r="D34" s="20"/>
      <c r="E34" s="54"/>
      <c r="F34" s="20"/>
      <c r="G34" s="52"/>
      <c r="H34" s="52"/>
    </row>
    <row r="35" customFormat="false" ht="15" hidden="false" customHeight="true" outlineLevel="0" collapsed="false">
      <c r="A35" s="52"/>
      <c r="B35" s="52"/>
      <c r="C35" s="28"/>
      <c r="D35" s="20"/>
      <c r="E35" s="54"/>
      <c r="F35" s="20"/>
      <c r="G35" s="52"/>
      <c r="H35" s="52"/>
    </row>
    <row r="36" customFormat="false" ht="15" hidden="false" customHeight="true" outlineLevel="0" collapsed="false">
      <c r="A36" s="52"/>
      <c r="B36" s="52"/>
      <c r="C36" s="28"/>
      <c r="D36" s="20"/>
      <c r="E36" s="54"/>
      <c r="F36" s="20"/>
      <c r="G36" s="52"/>
      <c r="H36" s="52"/>
    </row>
    <row r="37" customFormat="false" ht="15" hidden="false" customHeight="true" outlineLevel="0" collapsed="false">
      <c r="A37" s="52"/>
      <c r="B37" s="52"/>
      <c r="C37" s="28"/>
      <c r="D37" s="20"/>
      <c r="E37" s="54"/>
      <c r="F37" s="20"/>
      <c r="G37" s="52"/>
      <c r="H37" s="52"/>
    </row>
    <row r="38" customFormat="false" ht="15" hidden="false" customHeight="true" outlineLevel="0" collapsed="false">
      <c r="A38" s="52"/>
      <c r="B38" s="52"/>
      <c r="C38" s="28"/>
      <c r="D38" s="20"/>
      <c r="E38" s="54"/>
      <c r="F38" s="20"/>
      <c r="G38" s="52"/>
      <c r="H38" s="52"/>
    </row>
    <row r="39" customFormat="false" ht="15" hidden="false" customHeight="true" outlineLevel="0" collapsed="false">
      <c r="A39" s="52"/>
      <c r="B39" s="52"/>
      <c r="C39" s="28"/>
      <c r="D39" s="20"/>
      <c r="E39" s="54"/>
      <c r="F39" s="20"/>
      <c r="G39" s="52"/>
      <c r="H39" s="52"/>
    </row>
    <row r="40" customFormat="false" ht="15" hidden="false" customHeight="true" outlineLevel="0" collapsed="false">
      <c r="A40" s="52"/>
      <c r="B40" s="52"/>
      <c r="C40" s="28"/>
      <c r="D40" s="20"/>
      <c r="E40" s="54"/>
      <c r="F40" s="20"/>
      <c r="G40" s="52"/>
      <c r="H40" s="52"/>
    </row>
    <row r="41" customFormat="false" ht="15" hidden="false" customHeight="true" outlineLevel="0" collapsed="false">
      <c r="A41" s="52"/>
      <c r="B41" s="52"/>
      <c r="C41" s="28"/>
      <c r="D41" s="20"/>
      <c r="E41" s="54"/>
      <c r="F41" s="20"/>
      <c r="G41" s="52"/>
      <c r="H41" s="52"/>
    </row>
    <row r="42" customFormat="false" ht="15" hidden="false" customHeight="true" outlineLevel="0" collapsed="false">
      <c r="A42" s="52"/>
      <c r="B42" s="52"/>
      <c r="C42" s="28"/>
      <c r="D42" s="20"/>
      <c r="E42" s="54"/>
      <c r="F42" s="20"/>
      <c r="G42" s="52"/>
      <c r="H42" s="52"/>
    </row>
    <row r="43" customFormat="false" ht="15" hidden="false" customHeight="true" outlineLevel="0" collapsed="false">
      <c r="A43" s="52"/>
      <c r="B43" s="52"/>
      <c r="C43" s="28"/>
      <c r="D43" s="20"/>
      <c r="E43" s="54"/>
      <c r="F43" s="20"/>
      <c r="G43" s="52"/>
      <c r="H43" s="52"/>
    </row>
    <row r="44" customFormat="false" ht="15" hidden="false" customHeight="true" outlineLevel="0" collapsed="false">
      <c r="A44" s="52"/>
      <c r="B44" s="52"/>
      <c r="C44" s="28"/>
      <c r="D44" s="20"/>
      <c r="E44" s="54"/>
      <c r="F44" s="20"/>
      <c r="G44" s="52"/>
      <c r="H44" s="52"/>
    </row>
    <row r="45" customFormat="false" ht="15" hidden="false" customHeight="true" outlineLevel="0" collapsed="false">
      <c r="A45" s="52"/>
      <c r="B45" s="52"/>
      <c r="C45" s="28"/>
      <c r="D45" s="20"/>
      <c r="E45" s="54"/>
      <c r="F45" s="20"/>
      <c r="G45" s="52"/>
      <c r="H45" s="52"/>
    </row>
    <row r="46" customFormat="false" ht="15" hidden="false" customHeight="true" outlineLevel="0" collapsed="false">
      <c r="A46" s="52"/>
      <c r="B46" s="52"/>
      <c r="C46" s="28"/>
      <c r="D46" s="20"/>
      <c r="E46" s="54"/>
      <c r="F46" s="20"/>
      <c r="G46" s="52"/>
      <c r="H46" s="52"/>
    </row>
    <row r="47" customFormat="false" ht="15" hidden="false" customHeight="true" outlineLevel="0" collapsed="false">
      <c r="A47" s="52"/>
      <c r="B47" s="52"/>
      <c r="C47" s="28"/>
      <c r="D47" s="20"/>
      <c r="E47" s="54"/>
      <c r="F47" s="20"/>
      <c r="G47" s="52"/>
      <c r="H47" s="52"/>
    </row>
    <row r="48" customFormat="false" ht="15" hidden="false" customHeight="true" outlineLevel="0" collapsed="false">
      <c r="A48" s="52"/>
      <c r="B48" s="52"/>
      <c r="C48" s="28"/>
      <c r="D48" s="20"/>
      <c r="E48" s="54"/>
      <c r="F48" s="20"/>
      <c r="G48" s="52"/>
      <c r="H48" s="52"/>
    </row>
    <row r="49" customFormat="false" ht="15" hidden="false" customHeight="true" outlineLevel="0" collapsed="false">
      <c r="A49" s="52"/>
      <c r="B49" s="52"/>
      <c r="C49" s="28"/>
      <c r="D49" s="20"/>
      <c r="E49" s="54"/>
      <c r="F49" s="20"/>
      <c r="G49" s="52"/>
      <c r="H49" s="52"/>
    </row>
    <row r="50" customFormat="false" ht="15" hidden="false" customHeight="true" outlineLevel="0" collapsed="false">
      <c r="A50" s="52"/>
      <c r="B50" s="52"/>
      <c r="C50" s="28"/>
      <c r="D50" s="20"/>
      <c r="E50" s="54"/>
      <c r="F50" s="20"/>
      <c r="G50" s="52"/>
      <c r="H50" s="52"/>
    </row>
    <row r="51" customFormat="false" ht="15" hidden="false" customHeight="true" outlineLevel="0" collapsed="false">
      <c r="A51" s="52"/>
      <c r="B51" s="52"/>
      <c r="C51" s="28"/>
      <c r="D51" s="20"/>
      <c r="E51" s="54"/>
      <c r="F51" s="20"/>
      <c r="G51" s="52"/>
      <c r="H51" s="52"/>
    </row>
    <row r="52" customFormat="false" ht="15" hidden="false" customHeight="true" outlineLevel="0" collapsed="false">
      <c r="A52" s="52"/>
      <c r="B52" s="52"/>
      <c r="C52" s="28"/>
      <c r="D52" s="20"/>
      <c r="E52" s="54"/>
      <c r="F52" s="20"/>
      <c r="G52" s="52"/>
      <c r="H52" s="52"/>
    </row>
    <row r="53" customFormat="false" ht="15" hidden="false" customHeight="true" outlineLevel="0" collapsed="false">
      <c r="A53" s="52"/>
      <c r="B53" s="52"/>
      <c r="C53" s="28"/>
      <c r="D53" s="20"/>
      <c r="E53" s="54"/>
      <c r="F53" s="20"/>
      <c r="G53" s="52"/>
      <c r="H53" s="52"/>
    </row>
    <row r="54" customFormat="false" ht="15" hidden="false" customHeight="true" outlineLevel="0" collapsed="false">
      <c r="A54" s="52"/>
      <c r="B54" s="52"/>
      <c r="C54" s="28"/>
      <c r="D54" s="20"/>
      <c r="E54" s="54"/>
      <c r="F54" s="20"/>
      <c r="G54" s="52"/>
      <c r="H54" s="52"/>
    </row>
    <row r="55" customFormat="false" ht="15" hidden="false" customHeight="true" outlineLevel="0" collapsed="false">
      <c r="A55" s="52"/>
      <c r="B55" s="52"/>
      <c r="C55" s="28"/>
      <c r="D55" s="20"/>
      <c r="E55" s="54"/>
      <c r="F55" s="20"/>
      <c r="G55" s="52"/>
      <c r="H55" s="52"/>
    </row>
    <row r="56" customFormat="false" ht="15" hidden="false" customHeight="true" outlineLevel="0" collapsed="false">
      <c r="A56" s="52"/>
      <c r="B56" s="52"/>
      <c r="C56" s="28"/>
      <c r="D56" s="20"/>
      <c r="E56" s="54"/>
      <c r="F56" s="20"/>
      <c r="G56" s="52"/>
      <c r="H56" s="52"/>
    </row>
    <row r="57" customFormat="false" ht="15" hidden="false" customHeight="true" outlineLevel="0" collapsed="false">
      <c r="A57" s="52"/>
      <c r="B57" s="52"/>
      <c r="C57" s="28"/>
      <c r="D57" s="20"/>
      <c r="E57" s="54"/>
      <c r="F57" s="20"/>
      <c r="G57" s="52"/>
      <c r="H57" s="52"/>
    </row>
    <row r="58" customFormat="false" ht="15" hidden="false" customHeight="true" outlineLevel="0" collapsed="false">
      <c r="A58" s="52"/>
      <c r="B58" s="52"/>
      <c r="C58" s="28"/>
      <c r="D58" s="20"/>
      <c r="E58" s="54"/>
      <c r="F58" s="20"/>
      <c r="G58" s="52"/>
      <c r="H58" s="52"/>
    </row>
    <row r="59" customFormat="false" ht="15" hidden="false" customHeight="true" outlineLevel="0" collapsed="false">
      <c r="A59" s="52"/>
      <c r="B59" s="52"/>
      <c r="C59" s="28"/>
      <c r="D59" s="20"/>
      <c r="E59" s="54"/>
      <c r="F59" s="20"/>
      <c r="G59" s="52"/>
      <c r="H59" s="52"/>
    </row>
    <row r="60" customFormat="false" ht="15" hidden="false" customHeight="true" outlineLevel="0" collapsed="false">
      <c r="A60" s="52"/>
      <c r="B60" s="52"/>
      <c r="C60" s="28"/>
      <c r="D60" s="20"/>
      <c r="E60" s="54"/>
      <c r="F60" s="20"/>
      <c r="G60" s="52"/>
      <c r="H60" s="52"/>
    </row>
    <row r="61" customFormat="false" ht="15" hidden="false" customHeight="true" outlineLevel="0" collapsed="false">
      <c r="A61" s="52"/>
      <c r="B61" s="52"/>
      <c r="C61" s="28"/>
      <c r="D61" s="20"/>
      <c r="E61" s="54"/>
      <c r="F61" s="20"/>
      <c r="G61" s="52"/>
      <c r="H61" s="52"/>
    </row>
    <row r="62" customFormat="false" ht="15" hidden="false" customHeight="true" outlineLevel="0" collapsed="false">
      <c r="A62" s="52"/>
      <c r="B62" s="52"/>
      <c r="C62" s="28"/>
      <c r="D62" s="20"/>
      <c r="E62" s="54"/>
      <c r="F62" s="20"/>
      <c r="G62" s="52"/>
      <c r="H62" s="52"/>
    </row>
    <row r="63" customFormat="false" ht="15" hidden="false" customHeight="true" outlineLevel="0" collapsed="false">
      <c r="A63" s="52"/>
      <c r="B63" s="52"/>
      <c r="C63" s="28"/>
      <c r="D63" s="20"/>
      <c r="E63" s="54"/>
      <c r="F63" s="20"/>
      <c r="G63" s="52"/>
      <c r="H63" s="52"/>
    </row>
    <row r="64" customFormat="false" ht="15" hidden="false" customHeight="true" outlineLevel="0" collapsed="false">
      <c r="A64" s="52"/>
      <c r="B64" s="52"/>
      <c r="C64" s="28"/>
      <c r="D64" s="20"/>
      <c r="E64" s="54"/>
      <c r="F64" s="20"/>
      <c r="G64" s="52"/>
      <c r="H64" s="52"/>
    </row>
  </sheetData>
  <conditionalFormatting sqref="G5:G64">
    <cfRule type="cellIs" priority="2" operator="equal" aboveAverage="0" equalAverage="0" bottom="0" percent="0" rank="0" text="" dxfId="0">
      <formula>"Collected"</formula>
    </cfRule>
  </conditionalFormatting>
  <dataValidations count="3">
    <dataValidation allowBlank="true" error="Please enter a number of 0 or more." errorStyle="stop" errorTitle="Number" operator="greaterThanOrEqual" showDropDown="false" showErrorMessage="true" showInputMessage="false" sqref="C5:C64 E5:E64" type="decimal">
      <formula1>0</formula1>
      <formula2>0</formula2>
    </dataValidation>
    <dataValidation allowBlank="true" errorStyle="stop" operator="between" showDropDown="false" showErrorMessage="false" showInputMessage="false" sqref="G5:G64" type="list">
      <formula1>"Open,Collected"</formula1>
      <formula2>0</formula2>
    </dataValidation>
    <dataValidation allowBlank="true" error="Please enter a date, e.g. 2026-11-02" errorStyle="stop" errorTitle="Date" operator="greaterThan" showDropDown="false" showErrorMessage="true" showInputMessage="false" sqref="D5:D64" type="date">
      <formula1>DATE(2000,1,1)</formula1>
      <formula2>0</formula2>
    </dataValidation>
  </dataValidations>
  <hyperlinks>
    <hyperlink ref="A11" r:id="rId1" display="Full version: up to 60 invoices →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A441"/>
    <pageSetUpPr fitToPage="true"/>
  </sheetPr>
  <dimension ref="A1:I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5" min="2" style="1" width="12"/>
    <col collapsed="false" customWidth="true" hidden="false" outlineLevel="0" max="6" min="6" style="1" width="34"/>
    <col collapsed="false" customWidth="true" hidden="false" outlineLevel="0" max="7" min="7" style="1" width="3"/>
    <col collapsed="false" customWidth="true" hidden="false" outlineLevel="0" max="8" min="8" style="1" width="18"/>
    <col collapsed="false" customWidth="true" hidden="false" outlineLevel="0" max="9" min="9" style="1" width="14"/>
  </cols>
  <sheetData>
    <row r="1" customFormat="false" ht="30" hidden="false" customHeight="true" outlineLevel="0" collapsed="false">
      <c r="A1" s="9" t="s">
        <v>139</v>
      </c>
    </row>
    <row r="2" customFormat="false" ht="15" hidden="false" customHeight="true" outlineLevel="0" collapsed="false">
      <c r="A2" s="10" t="s">
        <v>140</v>
      </c>
    </row>
    <row r="4" customFormat="false" ht="30" hidden="false" customHeight="true" outlineLevel="0" collapsed="false">
      <c r="A4" s="12" t="s">
        <v>141</v>
      </c>
      <c r="B4" s="12" t="s">
        <v>142</v>
      </c>
      <c r="C4" s="12" t="s">
        <v>92</v>
      </c>
      <c r="D4" s="12" t="s">
        <v>120</v>
      </c>
      <c r="E4" s="12" t="s">
        <v>53</v>
      </c>
      <c r="F4" s="12" t="s">
        <v>123</v>
      </c>
      <c r="H4" s="14" t="s">
        <v>143</v>
      </c>
      <c r="I4" s="29" t="n">
        <f aca="false">SUMIFS(C5:C64,E5:E64,"Unpaid")</f>
        <v>29550</v>
      </c>
    </row>
    <row r="5" customFormat="false" ht="15" hidden="false" customHeight="true" outlineLevel="0" collapsed="false">
      <c r="A5" s="46" t="s">
        <v>144</v>
      </c>
      <c r="B5" s="46" t="s">
        <v>145</v>
      </c>
      <c r="C5" s="47" t="n">
        <v>3200</v>
      </c>
      <c r="D5" s="48" t="n">
        <v>46330</v>
      </c>
      <c r="E5" s="46" t="s">
        <v>146</v>
      </c>
      <c r="F5" s="46"/>
    </row>
    <row r="6" customFormat="false" ht="15" hidden="false" customHeight="true" outlineLevel="0" collapsed="false">
      <c r="A6" s="46" t="s">
        <v>147</v>
      </c>
      <c r="B6" s="46" t="s">
        <v>148</v>
      </c>
      <c r="C6" s="47" t="n">
        <v>7800</v>
      </c>
      <c r="D6" s="48" t="n">
        <v>46338</v>
      </c>
      <c r="E6" s="46" t="s">
        <v>146</v>
      </c>
      <c r="F6" s="46"/>
    </row>
    <row r="7" customFormat="false" ht="15" hidden="false" customHeight="true" outlineLevel="0" collapsed="false">
      <c r="A7" s="46" t="s">
        <v>149</v>
      </c>
      <c r="B7" s="46" t="s">
        <v>150</v>
      </c>
      <c r="C7" s="47" t="n">
        <v>2450</v>
      </c>
      <c r="D7" s="48" t="n">
        <v>46351</v>
      </c>
      <c r="E7" s="46" t="s">
        <v>146</v>
      </c>
      <c r="F7" s="46"/>
    </row>
    <row r="8" customFormat="false" ht="15" hidden="false" customHeight="true" outlineLevel="0" collapsed="false">
      <c r="A8" s="46" t="s">
        <v>151</v>
      </c>
      <c r="B8" s="46" t="s">
        <v>152</v>
      </c>
      <c r="C8" s="47" t="n">
        <v>12000</v>
      </c>
      <c r="D8" s="48" t="n">
        <v>46361</v>
      </c>
      <c r="E8" s="46" t="s">
        <v>146</v>
      </c>
      <c r="F8" s="46"/>
    </row>
    <row r="9" customFormat="false" ht="15" hidden="false" customHeight="true" outlineLevel="0" collapsed="false">
      <c r="A9" s="46" t="s">
        <v>153</v>
      </c>
      <c r="B9" s="46" t="s">
        <v>154</v>
      </c>
      <c r="C9" s="47" t="n">
        <v>4100</v>
      </c>
      <c r="D9" s="48" t="n">
        <v>46376</v>
      </c>
      <c r="E9" s="46" t="s">
        <v>146</v>
      </c>
      <c r="F9" s="46"/>
    </row>
    <row r="10" customFormat="false" ht="15" hidden="false" customHeight="true" outlineLevel="0" collapsed="false">
      <c r="A10" s="51" t="s">
        <v>155</v>
      </c>
      <c r="B10" s="52"/>
      <c r="C10" s="28"/>
      <c r="D10" s="20"/>
      <c r="E10" s="52"/>
      <c r="F10" s="52"/>
    </row>
    <row r="11" customFormat="false" ht="15" hidden="false" customHeight="true" outlineLevel="0" collapsed="false">
      <c r="A11" s="52"/>
      <c r="B11" s="52"/>
      <c r="C11" s="28"/>
      <c r="D11" s="20"/>
      <c r="E11" s="52"/>
      <c r="F11" s="52"/>
    </row>
    <row r="12" customFormat="false" ht="15" hidden="false" customHeight="true" outlineLevel="0" collapsed="false">
      <c r="A12" s="52"/>
      <c r="B12" s="52"/>
      <c r="C12" s="28"/>
      <c r="D12" s="20"/>
      <c r="E12" s="52"/>
      <c r="F12" s="52"/>
    </row>
    <row r="13" customFormat="false" ht="15" hidden="false" customHeight="true" outlineLevel="0" collapsed="false">
      <c r="A13" s="52"/>
      <c r="B13" s="52"/>
      <c r="C13" s="28"/>
      <c r="D13" s="20"/>
      <c r="E13" s="52"/>
      <c r="F13" s="52"/>
    </row>
    <row r="14" customFormat="false" ht="15" hidden="false" customHeight="true" outlineLevel="0" collapsed="false">
      <c r="A14" s="52"/>
      <c r="B14" s="52"/>
      <c r="C14" s="28"/>
      <c r="D14" s="20"/>
      <c r="E14" s="52"/>
      <c r="F14" s="52"/>
    </row>
    <row r="15" customFormat="false" ht="15" hidden="false" customHeight="true" outlineLevel="0" collapsed="false">
      <c r="A15" s="52"/>
      <c r="B15" s="52"/>
      <c r="C15" s="28"/>
      <c r="D15" s="20"/>
      <c r="E15" s="52"/>
      <c r="F15" s="52"/>
    </row>
    <row r="16" customFormat="false" ht="15" hidden="false" customHeight="true" outlineLevel="0" collapsed="false">
      <c r="A16" s="52"/>
      <c r="B16" s="52"/>
      <c r="C16" s="28"/>
      <c r="D16" s="20"/>
      <c r="E16" s="52"/>
      <c r="F16" s="52"/>
    </row>
    <row r="17" customFormat="false" ht="15" hidden="false" customHeight="true" outlineLevel="0" collapsed="false">
      <c r="A17" s="52"/>
      <c r="B17" s="52"/>
      <c r="C17" s="28"/>
      <c r="D17" s="20"/>
      <c r="E17" s="52"/>
      <c r="F17" s="52"/>
    </row>
    <row r="18" customFormat="false" ht="15" hidden="false" customHeight="true" outlineLevel="0" collapsed="false">
      <c r="A18" s="52"/>
      <c r="B18" s="52"/>
      <c r="C18" s="28"/>
      <c r="D18" s="20"/>
      <c r="E18" s="52"/>
      <c r="F18" s="52"/>
    </row>
    <row r="19" customFormat="false" ht="15" hidden="false" customHeight="true" outlineLevel="0" collapsed="false">
      <c r="A19" s="52"/>
      <c r="B19" s="52"/>
      <c r="C19" s="28"/>
      <c r="D19" s="20"/>
      <c r="E19" s="52"/>
      <c r="F19" s="52"/>
    </row>
    <row r="20" customFormat="false" ht="15" hidden="false" customHeight="true" outlineLevel="0" collapsed="false">
      <c r="A20" s="52"/>
      <c r="B20" s="52"/>
      <c r="C20" s="28"/>
      <c r="D20" s="20"/>
      <c r="E20" s="52"/>
      <c r="F20" s="52"/>
    </row>
    <row r="21" customFormat="false" ht="15" hidden="false" customHeight="true" outlineLevel="0" collapsed="false">
      <c r="A21" s="52"/>
      <c r="B21" s="52"/>
      <c r="C21" s="28"/>
      <c r="D21" s="20"/>
      <c r="E21" s="52"/>
      <c r="F21" s="52"/>
    </row>
    <row r="22" customFormat="false" ht="15" hidden="false" customHeight="true" outlineLevel="0" collapsed="false">
      <c r="A22" s="52"/>
      <c r="B22" s="52"/>
      <c r="C22" s="28"/>
      <c r="D22" s="20"/>
      <c r="E22" s="52"/>
      <c r="F22" s="52"/>
    </row>
    <row r="23" customFormat="false" ht="15" hidden="false" customHeight="true" outlineLevel="0" collapsed="false">
      <c r="A23" s="52"/>
      <c r="B23" s="52"/>
      <c r="C23" s="28"/>
      <c r="D23" s="20"/>
      <c r="E23" s="52"/>
      <c r="F23" s="52"/>
    </row>
    <row r="24" customFormat="false" ht="15" hidden="false" customHeight="true" outlineLevel="0" collapsed="false">
      <c r="A24" s="52"/>
      <c r="B24" s="52"/>
      <c r="C24" s="28"/>
      <c r="D24" s="20"/>
      <c r="E24" s="52"/>
      <c r="F24" s="52"/>
    </row>
    <row r="25" customFormat="false" ht="15" hidden="false" customHeight="true" outlineLevel="0" collapsed="false">
      <c r="A25" s="52"/>
      <c r="B25" s="52"/>
      <c r="C25" s="28"/>
      <c r="D25" s="20"/>
      <c r="E25" s="52"/>
      <c r="F25" s="52"/>
    </row>
    <row r="26" customFormat="false" ht="15" hidden="false" customHeight="true" outlineLevel="0" collapsed="false">
      <c r="A26" s="52"/>
      <c r="B26" s="52"/>
      <c r="C26" s="28"/>
      <c r="D26" s="20"/>
      <c r="E26" s="52"/>
      <c r="F26" s="52"/>
    </row>
    <row r="27" customFormat="false" ht="15" hidden="false" customHeight="true" outlineLevel="0" collapsed="false">
      <c r="A27" s="52"/>
      <c r="B27" s="52"/>
      <c r="C27" s="28"/>
      <c r="D27" s="20"/>
      <c r="E27" s="52"/>
      <c r="F27" s="52"/>
    </row>
    <row r="28" customFormat="false" ht="15" hidden="false" customHeight="true" outlineLevel="0" collapsed="false">
      <c r="A28" s="52"/>
      <c r="B28" s="52"/>
      <c r="C28" s="28"/>
      <c r="D28" s="20"/>
      <c r="E28" s="52"/>
      <c r="F28" s="52"/>
    </row>
    <row r="29" customFormat="false" ht="15" hidden="false" customHeight="true" outlineLevel="0" collapsed="false">
      <c r="A29" s="52"/>
      <c r="B29" s="52"/>
      <c r="C29" s="28"/>
      <c r="D29" s="20"/>
      <c r="E29" s="52"/>
      <c r="F29" s="52"/>
    </row>
    <row r="30" customFormat="false" ht="15" hidden="false" customHeight="true" outlineLevel="0" collapsed="false">
      <c r="A30" s="52"/>
      <c r="B30" s="52"/>
      <c r="C30" s="28"/>
      <c r="D30" s="20"/>
      <c r="E30" s="52"/>
      <c r="F30" s="52"/>
    </row>
    <row r="31" customFormat="false" ht="15" hidden="false" customHeight="true" outlineLevel="0" collapsed="false">
      <c r="A31" s="52"/>
      <c r="B31" s="52"/>
      <c r="C31" s="28"/>
      <c r="D31" s="20"/>
      <c r="E31" s="52"/>
      <c r="F31" s="52"/>
    </row>
    <row r="32" customFormat="false" ht="15" hidden="false" customHeight="true" outlineLevel="0" collapsed="false">
      <c r="A32" s="52"/>
      <c r="B32" s="52"/>
      <c r="C32" s="28"/>
      <c r="D32" s="20"/>
      <c r="E32" s="52"/>
      <c r="F32" s="52"/>
    </row>
    <row r="33" customFormat="false" ht="15" hidden="false" customHeight="true" outlineLevel="0" collapsed="false">
      <c r="A33" s="52"/>
      <c r="B33" s="52"/>
      <c r="C33" s="28"/>
      <c r="D33" s="20"/>
      <c r="E33" s="52"/>
      <c r="F33" s="52"/>
    </row>
    <row r="34" customFormat="false" ht="15" hidden="false" customHeight="true" outlineLevel="0" collapsed="false">
      <c r="A34" s="52"/>
      <c r="B34" s="52"/>
      <c r="C34" s="28"/>
      <c r="D34" s="20"/>
      <c r="E34" s="52"/>
      <c r="F34" s="52"/>
    </row>
    <row r="35" customFormat="false" ht="15" hidden="false" customHeight="true" outlineLevel="0" collapsed="false">
      <c r="A35" s="52"/>
      <c r="B35" s="52"/>
      <c r="C35" s="28"/>
      <c r="D35" s="20"/>
      <c r="E35" s="52"/>
      <c r="F35" s="52"/>
    </row>
    <row r="36" customFormat="false" ht="15" hidden="false" customHeight="true" outlineLevel="0" collapsed="false">
      <c r="A36" s="52"/>
      <c r="B36" s="52"/>
      <c r="C36" s="28"/>
      <c r="D36" s="20"/>
      <c r="E36" s="52"/>
      <c r="F36" s="52"/>
    </row>
    <row r="37" customFormat="false" ht="15" hidden="false" customHeight="true" outlineLevel="0" collapsed="false">
      <c r="A37" s="52"/>
      <c r="B37" s="52"/>
      <c r="C37" s="28"/>
      <c r="D37" s="20"/>
      <c r="E37" s="52"/>
      <c r="F37" s="52"/>
    </row>
    <row r="38" customFormat="false" ht="15" hidden="false" customHeight="true" outlineLevel="0" collapsed="false">
      <c r="A38" s="52"/>
      <c r="B38" s="52"/>
      <c r="C38" s="28"/>
      <c r="D38" s="20"/>
      <c r="E38" s="52"/>
      <c r="F38" s="52"/>
    </row>
    <row r="39" customFormat="false" ht="15" hidden="false" customHeight="true" outlineLevel="0" collapsed="false">
      <c r="A39" s="52"/>
      <c r="B39" s="52"/>
      <c r="C39" s="28"/>
      <c r="D39" s="20"/>
      <c r="E39" s="52"/>
      <c r="F39" s="52"/>
    </row>
    <row r="40" customFormat="false" ht="15" hidden="false" customHeight="true" outlineLevel="0" collapsed="false">
      <c r="A40" s="52"/>
      <c r="B40" s="52"/>
      <c r="C40" s="28"/>
      <c r="D40" s="20"/>
      <c r="E40" s="52"/>
      <c r="F40" s="52"/>
    </row>
    <row r="41" customFormat="false" ht="15" hidden="false" customHeight="true" outlineLevel="0" collapsed="false">
      <c r="A41" s="52"/>
      <c r="B41" s="52"/>
      <c r="C41" s="28"/>
      <c r="D41" s="20"/>
      <c r="E41" s="52"/>
      <c r="F41" s="52"/>
    </row>
    <row r="42" customFormat="false" ht="15" hidden="false" customHeight="true" outlineLevel="0" collapsed="false">
      <c r="A42" s="52"/>
      <c r="B42" s="52"/>
      <c r="C42" s="28"/>
      <c r="D42" s="20"/>
      <c r="E42" s="52"/>
      <c r="F42" s="52"/>
    </row>
    <row r="43" customFormat="false" ht="15" hidden="false" customHeight="true" outlineLevel="0" collapsed="false">
      <c r="A43" s="52"/>
      <c r="B43" s="52"/>
      <c r="C43" s="28"/>
      <c r="D43" s="20"/>
      <c r="E43" s="52"/>
      <c r="F43" s="52"/>
    </row>
    <row r="44" customFormat="false" ht="15" hidden="false" customHeight="true" outlineLevel="0" collapsed="false">
      <c r="A44" s="52"/>
      <c r="B44" s="52"/>
      <c r="C44" s="28"/>
      <c r="D44" s="20"/>
      <c r="E44" s="52"/>
      <c r="F44" s="52"/>
    </row>
    <row r="45" customFormat="false" ht="15" hidden="false" customHeight="true" outlineLevel="0" collapsed="false">
      <c r="A45" s="52"/>
      <c r="B45" s="52"/>
      <c r="C45" s="28"/>
      <c r="D45" s="20"/>
      <c r="E45" s="52"/>
      <c r="F45" s="52"/>
    </row>
    <row r="46" customFormat="false" ht="15" hidden="false" customHeight="true" outlineLevel="0" collapsed="false">
      <c r="A46" s="52"/>
      <c r="B46" s="52"/>
      <c r="C46" s="28"/>
      <c r="D46" s="20"/>
      <c r="E46" s="52"/>
      <c r="F46" s="52"/>
    </row>
    <row r="47" customFormat="false" ht="15" hidden="false" customHeight="true" outlineLevel="0" collapsed="false">
      <c r="A47" s="52"/>
      <c r="B47" s="52"/>
      <c r="C47" s="28"/>
      <c r="D47" s="20"/>
      <c r="E47" s="52"/>
      <c r="F47" s="52"/>
    </row>
    <row r="48" customFormat="false" ht="15" hidden="false" customHeight="true" outlineLevel="0" collapsed="false">
      <c r="A48" s="52"/>
      <c r="B48" s="52"/>
      <c r="C48" s="28"/>
      <c r="D48" s="20"/>
      <c r="E48" s="52"/>
      <c r="F48" s="52"/>
    </row>
    <row r="49" customFormat="false" ht="15" hidden="false" customHeight="true" outlineLevel="0" collapsed="false">
      <c r="A49" s="52"/>
      <c r="B49" s="52"/>
      <c r="C49" s="28"/>
      <c r="D49" s="20"/>
      <c r="E49" s="52"/>
      <c r="F49" s="52"/>
    </row>
    <row r="50" customFormat="false" ht="15" hidden="false" customHeight="true" outlineLevel="0" collapsed="false">
      <c r="A50" s="52"/>
      <c r="B50" s="52"/>
      <c r="C50" s="28"/>
      <c r="D50" s="20"/>
      <c r="E50" s="52"/>
      <c r="F50" s="52"/>
    </row>
    <row r="51" customFormat="false" ht="15" hidden="false" customHeight="true" outlineLevel="0" collapsed="false">
      <c r="A51" s="52"/>
      <c r="B51" s="52"/>
      <c r="C51" s="28"/>
      <c r="D51" s="20"/>
      <c r="E51" s="52"/>
      <c r="F51" s="52"/>
    </row>
    <row r="52" customFormat="false" ht="15" hidden="false" customHeight="true" outlineLevel="0" collapsed="false">
      <c r="A52" s="52"/>
      <c r="B52" s="52"/>
      <c r="C52" s="28"/>
      <c r="D52" s="20"/>
      <c r="E52" s="52"/>
      <c r="F52" s="52"/>
    </row>
    <row r="53" customFormat="false" ht="15" hidden="false" customHeight="true" outlineLevel="0" collapsed="false">
      <c r="A53" s="52"/>
      <c r="B53" s="52"/>
      <c r="C53" s="28"/>
      <c r="D53" s="20"/>
      <c r="E53" s="52"/>
      <c r="F53" s="52"/>
    </row>
    <row r="54" customFormat="false" ht="15" hidden="false" customHeight="true" outlineLevel="0" collapsed="false">
      <c r="A54" s="52"/>
      <c r="B54" s="52"/>
      <c r="C54" s="28"/>
      <c r="D54" s="20"/>
      <c r="E54" s="52"/>
      <c r="F54" s="52"/>
    </row>
    <row r="55" customFormat="false" ht="15" hidden="false" customHeight="true" outlineLevel="0" collapsed="false">
      <c r="A55" s="52"/>
      <c r="B55" s="52"/>
      <c r="C55" s="28"/>
      <c r="D55" s="20"/>
      <c r="E55" s="52"/>
      <c r="F55" s="52"/>
    </row>
    <row r="56" customFormat="false" ht="15" hidden="false" customHeight="true" outlineLevel="0" collapsed="false">
      <c r="A56" s="52"/>
      <c r="B56" s="52"/>
      <c r="C56" s="28"/>
      <c r="D56" s="20"/>
      <c r="E56" s="52"/>
      <c r="F56" s="52"/>
    </row>
    <row r="57" customFormat="false" ht="15" hidden="false" customHeight="true" outlineLevel="0" collapsed="false">
      <c r="A57" s="52"/>
      <c r="B57" s="52"/>
      <c r="C57" s="28"/>
      <c r="D57" s="20"/>
      <c r="E57" s="52"/>
      <c r="F57" s="52"/>
    </row>
    <row r="58" customFormat="false" ht="15" hidden="false" customHeight="true" outlineLevel="0" collapsed="false">
      <c r="A58" s="52"/>
      <c r="B58" s="52"/>
      <c r="C58" s="28"/>
      <c r="D58" s="20"/>
      <c r="E58" s="52"/>
      <c r="F58" s="52"/>
    </row>
    <row r="59" customFormat="false" ht="15" hidden="false" customHeight="true" outlineLevel="0" collapsed="false">
      <c r="A59" s="52"/>
      <c r="B59" s="52"/>
      <c r="C59" s="28"/>
      <c r="D59" s="20"/>
      <c r="E59" s="52"/>
      <c r="F59" s="52"/>
    </row>
    <row r="60" customFormat="false" ht="15" hidden="false" customHeight="true" outlineLevel="0" collapsed="false">
      <c r="A60" s="52"/>
      <c r="B60" s="52"/>
      <c r="C60" s="28"/>
      <c r="D60" s="20"/>
      <c r="E60" s="52"/>
      <c r="F60" s="52"/>
    </row>
    <row r="61" customFormat="false" ht="15" hidden="false" customHeight="true" outlineLevel="0" collapsed="false">
      <c r="A61" s="52"/>
      <c r="B61" s="52"/>
      <c r="C61" s="28"/>
      <c r="D61" s="20"/>
      <c r="E61" s="52"/>
      <c r="F61" s="52"/>
    </row>
    <row r="62" customFormat="false" ht="15" hidden="false" customHeight="true" outlineLevel="0" collapsed="false">
      <c r="A62" s="52"/>
      <c r="B62" s="52"/>
      <c r="C62" s="28"/>
      <c r="D62" s="20"/>
      <c r="E62" s="52"/>
      <c r="F62" s="52"/>
    </row>
    <row r="63" customFormat="false" ht="15" hidden="false" customHeight="true" outlineLevel="0" collapsed="false">
      <c r="A63" s="52"/>
      <c r="B63" s="52"/>
      <c r="C63" s="28"/>
      <c r="D63" s="20"/>
      <c r="E63" s="52"/>
      <c r="F63" s="52"/>
    </row>
    <row r="64" customFormat="false" ht="15" hidden="false" customHeight="true" outlineLevel="0" collapsed="false">
      <c r="A64" s="52"/>
      <c r="B64" s="52"/>
      <c r="C64" s="28"/>
      <c r="D64" s="20"/>
      <c r="E64" s="52"/>
      <c r="F64" s="52"/>
    </row>
  </sheetData>
  <conditionalFormatting sqref="E5:E64">
    <cfRule type="cellIs" priority="2" operator="equal" aboveAverage="0" equalAverage="0" bottom="0" percent="0" rank="0" text="" dxfId="0">
      <formula>"Paid"</formula>
    </cfRule>
  </conditionalFormatting>
  <dataValidations count="3">
    <dataValidation allowBlank="true" error="Please enter a number of 0 or more." errorStyle="stop" errorTitle="Number" operator="greaterThanOrEqual" showDropDown="false" showErrorMessage="true" showInputMessage="false" sqref="C5:C64" type="decimal">
      <formula1>0</formula1>
      <formula2>0</formula2>
    </dataValidation>
    <dataValidation allowBlank="true" errorStyle="stop" operator="between" showDropDown="false" showErrorMessage="false" showInputMessage="false" sqref="E5:E64" type="list">
      <formula1>"Unpaid,Paid"</formula1>
      <formula2>0</formula2>
    </dataValidation>
    <dataValidation allowBlank="true" error="Please enter a date, e.g. 2026-11-02" errorStyle="stop" errorTitle="Date" operator="greaterThan" showDropDown="false" showErrorMessage="true" showInputMessage="false" sqref="D5:D64" type="date">
      <formula1>DATE(2000,1,1)</formula1>
      <formula2>0</formula2>
    </dataValidation>
  </dataValidations>
  <hyperlinks>
    <hyperlink ref="A10" r:id="rId1" display="Full version: up to 60 bills →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A441"/>
    <pageSetUpPr fitToPage="true"/>
  </sheetPr>
  <dimension ref="A1:E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4"/>
    <col collapsed="false" customWidth="true" hidden="false" outlineLevel="0" max="3" min="3" style="1" width="10"/>
    <col collapsed="false" customWidth="true" hidden="false" outlineLevel="0" max="4" min="4" style="1" width="12"/>
    <col collapsed="false" customWidth="true" hidden="false" outlineLevel="0" max="5" min="5" style="1" width="34"/>
  </cols>
  <sheetData>
    <row r="1" customFormat="false" ht="30" hidden="false" customHeight="true" outlineLevel="0" collapsed="false">
      <c r="A1" s="9" t="s">
        <v>156</v>
      </c>
    </row>
    <row r="2" customFormat="false" ht="15" hidden="false" customHeight="true" outlineLevel="0" collapsed="false">
      <c r="A2" s="10" t="s">
        <v>157</v>
      </c>
    </row>
    <row r="4" customFormat="false" ht="30" hidden="false" customHeight="true" outlineLevel="0" collapsed="false">
      <c r="A4" s="12" t="s">
        <v>158</v>
      </c>
      <c r="B4" s="12" t="s">
        <v>159</v>
      </c>
      <c r="C4" s="12" t="s">
        <v>91</v>
      </c>
      <c r="D4" s="12" t="s">
        <v>92</v>
      </c>
      <c r="E4" s="12" t="s">
        <v>123</v>
      </c>
    </row>
    <row r="5" customFormat="false" ht="15" hidden="false" customHeight="true" outlineLevel="0" collapsed="false">
      <c r="A5" s="48" t="n">
        <v>46356</v>
      </c>
      <c r="B5" s="46" t="s">
        <v>160</v>
      </c>
      <c r="C5" s="46" t="s">
        <v>97</v>
      </c>
      <c r="D5" s="47" t="n">
        <v>6500</v>
      </c>
      <c r="E5" s="46"/>
    </row>
    <row r="6" customFormat="false" ht="15" hidden="false" customHeight="true" outlineLevel="0" collapsed="false">
      <c r="A6" s="48" t="n">
        <v>46374</v>
      </c>
      <c r="B6" s="46" t="s">
        <v>161</v>
      </c>
      <c r="C6" s="46" t="s">
        <v>111</v>
      </c>
      <c r="D6" s="47" t="n">
        <v>15000</v>
      </c>
      <c r="E6" s="46"/>
    </row>
    <row r="7" customFormat="false" ht="15" hidden="false" customHeight="true" outlineLevel="0" collapsed="false">
      <c r="A7" s="48" t="n">
        <v>46378</v>
      </c>
      <c r="B7" s="46" t="s">
        <v>162</v>
      </c>
      <c r="C7" s="46" t="s">
        <v>97</v>
      </c>
      <c r="D7" s="47" t="n">
        <v>9000</v>
      </c>
      <c r="E7" s="46"/>
    </row>
    <row r="8" customFormat="false" ht="15" hidden="false" customHeight="true" outlineLevel="0" collapsed="false">
      <c r="A8" s="55" t="s">
        <v>163</v>
      </c>
      <c r="B8" s="52"/>
      <c r="C8" s="52"/>
      <c r="D8" s="28"/>
      <c r="E8" s="52"/>
    </row>
    <row r="9" customFormat="false" ht="15" hidden="false" customHeight="true" outlineLevel="0" collapsed="false">
      <c r="A9" s="20"/>
      <c r="B9" s="52"/>
      <c r="C9" s="52"/>
      <c r="D9" s="28"/>
      <c r="E9" s="52"/>
    </row>
    <row r="10" customFormat="false" ht="15" hidden="false" customHeight="true" outlineLevel="0" collapsed="false">
      <c r="A10" s="20"/>
      <c r="B10" s="52"/>
      <c r="C10" s="52"/>
      <c r="D10" s="28"/>
      <c r="E10" s="52"/>
    </row>
    <row r="11" customFormat="false" ht="15" hidden="false" customHeight="true" outlineLevel="0" collapsed="false">
      <c r="A11" s="20"/>
      <c r="B11" s="52"/>
      <c r="C11" s="52"/>
      <c r="D11" s="28"/>
      <c r="E11" s="52"/>
    </row>
    <row r="12" customFormat="false" ht="15" hidden="false" customHeight="true" outlineLevel="0" collapsed="false">
      <c r="A12" s="20"/>
      <c r="B12" s="52"/>
      <c r="C12" s="52"/>
      <c r="D12" s="28"/>
      <c r="E12" s="52"/>
    </row>
    <row r="13" customFormat="false" ht="15" hidden="false" customHeight="true" outlineLevel="0" collapsed="false">
      <c r="A13" s="20"/>
      <c r="B13" s="52"/>
      <c r="C13" s="52"/>
      <c r="D13" s="28"/>
      <c r="E13" s="52"/>
    </row>
    <row r="14" customFormat="false" ht="15" hidden="false" customHeight="true" outlineLevel="0" collapsed="false">
      <c r="A14" s="20"/>
      <c r="B14" s="52"/>
      <c r="C14" s="52"/>
      <c r="D14" s="28"/>
      <c r="E14" s="52"/>
    </row>
    <row r="15" customFormat="false" ht="15" hidden="false" customHeight="true" outlineLevel="0" collapsed="false">
      <c r="A15" s="20"/>
      <c r="B15" s="52"/>
      <c r="C15" s="52"/>
      <c r="D15" s="28"/>
      <c r="E15" s="52"/>
    </row>
    <row r="16" customFormat="false" ht="15" hidden="false" customHeight="true" outlineLevel="0" collapsed="false">
      <c r="A16" s="20"/>
      <c r="B16" s="52"/>
      <c r="C16" s="52"/>
      <c r="D16" s="28"/>
      <c r="E16" s="52"/>
    </row>
    <row r="17" customFormat="false" ht="15" hidden="false" customHeight="true" outlineLevel="0" collapsed="false">
      <c r="A17" s="20"/>
      <c r="B17" s="52"/>
      <c r="C17" s="52"/>
      <c r="D17" s="28"/>
      <c r="E17" s="52"/>
    </row>
    <row r="18" customFormat="false" ht="15" hidden="false" customHeight="true" outlineLevel="0" collapsed="false">
      <c r="A18" s="20"/>
      <c r="B18" s="52"/>
      <c r="C18" s="52"/>
      <c r="D18" s="28"/>
      <c r="E18" s="52"/>
    </row>
    <row r="19" customFormat="false" ht="15" hidden="false" customHeight="true" outlineLevel="0" collapsed="false">
      <c r="A19" s="20"/>
      <c r="B19" s="52"/>
      <c r="C19" s="52"/>
      <c r="D19" s="28"/>
      <c r="E19" s="52"/>
    </row>
    <row r="20" customFormat="false" ht="15" hidden="false" customHeight="true" outlineLevel="0" collapsed="false">
      <c r="A20" s="20"/>
      <c r="B20" s="52"/>
      <c r="C20" s="52"/>
      <c r="D20" s="28"/>
      <c r="E20" s="52"/>
    </row>
    <row r="21" customFormat="false" ht="15" hidden="false" customHeight="true" outlineLevel="0" collapsed="false">
      <c r="A21" s="20"/>
      <c r="B21" s="52"/>
      <c r="C21" s="52"/>
      <c r="D21" s="28"/>
      <c r="E21" s="52"/>
    </row>
    <row r="22" customFormat="false" ht="15" hidden="false" customHeight="true" outlineLevel="0" collapsed="false">
      <c r="A22" s="20"/>
      <c r="B22" s="52"/>
      <c r="C22" s="52"/>
      <c r="D22" s="28"/>
      <c r="E22" s="52"/>
    </row>
    <row r="23" customFormat="false" ht="15" hidden="false" customHeight="true" outlineLevel="0" collapsed="false">
      <c r="A23" s="20"/>
      <c r="B23" s="52"/>
      <c r="C23" s="52"/>
      <c r="D23" s="28"/>
      <c r="E23" s="52"/>
    </row>
    <row r="24" customFormat="false" ht="15" hidden="false" customHeight="true" outlineLevel="0" collapsed="false">
      <c r="A24" s="20"/>
      <c r="B24" s="52"/>
      <c r="C24" s="52"/>
      <c r="D24" s="28"/>
      <c r="E24" s="52"/>
    </row>
    <row r="25" customFormat="false" ht="15" hidden="false" customHeight="true" outlineLevel="0" collapsed="false">
      <c r="A25" s="20"/>
      <c r="B25" s="52"/>
      <c r="C25" s="52"/>
      <c r="D25" s="28"/>
      <c r="E25" s="52"/>
    </row>
    <row r="26" customFormat="false" ht="15" hidden="false" customHeight="true" outlineLevel="0" collapsed="false">
      <c r="A26" s="20"/>
      <c r="B26" s="52"/>
      <c r="C26" s="52"/>
      <c r="D26" s="28"/>
      <c r="E26" s="52"/>
    </row>
    <row r="27" customFormat="false" ht="15" hidden="false" customHeight="true" outlineLevel="0" collapsed="false">
      <c r="A27" s="20"/>
      <c r="B27" s="52"/>
      <c r="C27" s="52"/>
      <c r="D27" s="28"/>
      <c r="E27" s="52"/>
    </row>
    <row r="28" customFormat="false" ht="15" hidden="false" customHeight="true" outlineLevel="0" collapsed="false">
      <c r="A28" s="20"/>
      <c r="B28" s="52"/>
      <c r="C28" s="52"/>
      <c r="D28" s="28"/>
      <c r="E28" s="52"/>
    </row>
    <row r="29" customFormat="false" ht="15" hidden="false" customHeight="true" outlineLevel="0" collapsed="false">
      <c r="A29" s="20"/>
      <c r="B29" s="52"/>
      <c r="C29" s="52"/>
      <c r="D29" s="28"/>
      <c r="E29" s="52"/>
    </row>
    <row r="30" customFormat="false" ht="15" hidden="false" customHeight="true" outlineLevel="0" collapsed="false">
      <c r="A30" s="20"/>
      <c r="B30" s="52"/>
      <c r="C30" s="52"/>
      <c r="D30" s="28"/>
      <c r="E30" s="52"/>
    </row>
    <row r="31" customFormat="false" ht="15" hidden="false" customHeight="true" outlineLevel="0" collapsed="false">
      <c r="A31" s="20"/>
      <c r="B31" s="52"/>
      <c r="C31" s="52"/>
      <c r="D31" s="28"/>
      <c r="E31" s="52"/>
    </row>
    <row r="32" customFormat="false" ht="15" hidden="false" customHeight="true" outlineLevel="0" collapsed="false">
      <c r="A32" s="20"/>
      <c r="B32" s="52"/>
      <c r="C32" s="52"/>
      <c r="D32" s="28"/>
      <c r="E32" s="52"/>
    </row>
    <row r="33" customFormat="false" ht="15" hidden="false" customHeight="true" outlineLevel="0" collapsed="false">
      <c r="A33" s="20"/>
      <c r="B33" s="52"/>
      <c r="C33" s="52"/>
      <c r="D33" s="28"/>
      <c r="E33" s="52"/>
    </row>
    <row r="34" customFormat="false" ht="15" hidden="false" customHeight="true" outlineLevel="0" collapsed="false">
      <c r="A34" s="20"/>
      <c r="B34" s="52"/>
      <c r="C34" s="52"/>
      <c r="D34" s="28"/>
      <c r="E34" s="52"/>
    </row>
    <row r="35" customFormat="false" ht="15" hidden="false" customHeight="true" outlineLevel="0" collapsed="false">
      <c r="A35" s="20"/>
      <c r="B35" s="52"/>
      <c r="C35" s="52"/>
      <c r="D35" s="28"/>
      <c r="E35" s="52"/>
    </row>
    <row r="36" customFormat="false" ht="15" hidden="false" customHeight="true" outlineLevel="0" collapsed="false">
      <c r="A36" s="20"/>
      <c r="B36" s="52"/>
      <c r="C36" s="52"/>
      <c r="D36" s="28"/>
      <c r="E36" s="52"/>
    </row>
    <row r="37" customFormat="false" ht="15" hidden="false" customHeight="true" outlineLevel="0" collapsed="false">
      <c r="A37" s="20"/>
      <c r="B37" s="52"/>
      <c r="C37" s="52"/>
      <c r="D37" s="28"/>
      <c r="E37" s="52"/>
    </row>
    <row r="38" customFormat="false" ht="15" hidden="false" customHeight="true" outlineLevel="0" collapsed="false">
      <c r="A38" s="20"/>
      <c r="B38" s="52"/>
      <c r="C38" s="52"/>
      <c r="D38" s="28"/>
      <c r="E38" s="52"/>
    </row>
    <row r="39" customFormat="false" ht="15" hidden="false" customHeight="true" outlineLevel="0" collapsed="false">
      <c r="A39" s="20"/>
      <c r="B39" s="52"/>
      <c r="C39" s="52"/>
      <c r="D39" s="28"/>
      <c r="E39" s="52"/>
    </row>
    <row r="40" customFormat="false" ht="15" hidden="false" customHeight="true" outlineLevel="0" collapsed="false">
      <c r="A40" s="20"/>
      <c r="B40" s="52"/>
      <c r="C40" s="52"/>
      <c r="D40" s="28"/>
      <c r="E40" s="52"/>
    </row>
    <row r="41" customFormat="false" ht="15" hidden="false" customHeight="true" outlineLevel="0" collapsed="false">
      <c r="A41" s="20"/>
      <c r="B41" s="52"/>
      <c r="C41" s="52"/>
      <c r="D41" s="28"/>
      <c r="E41" s="52"/>
    </row>
    <row r="42" customFormat="false" ht="15" hidden="false" customHeight="true" outlineLevel="0" collapsed="false">
      <c r="A42" s="20"/>
      <c r="B42" s="52"/>
      <c r="C42" s="52"/>
      <c r="D42" s="28"/>
      <c r="E42" s="52"/>
    </row>
    <row r="43" customFormat="false" ht="15" hidden="false" customHeight="true" outlineLevel="0" collapsed="false">
      <c r="A43" s="20"/>
      <c r="B43" s="52"/>
      <c r="C43" s="52"/>
      <c r="D43" s="28"/>
      <c r="E43" s="52"/>
    </row>
    <row r="44" customFormat="false" ht="15" hidden="false" customHeight="true" outlineLevel="0" collapsed="false">
      <c r="A44" s="20"/>
      <c r="B44" s="52"/>
      <c r="C44" s="52"/>
      <c r="D44" s="28"/>
      <c r="E44" s="52"/>
    </row>
    <row r="45" customFormat="false" ht="15" hidden="false" customHeight="true" outlineLevel="0" collapsed="false">
      <c r="A45" s="20"/>
      <c r="B45" s="52"/>
      <c r="C45" s="52"/>
      <c r="D45" s="28"/>
      <c r="E45" s="52"/>
    </row>
    <row r="46" customFormat="false" ht="15" hidden="false" customHeight="true" outlineLevel="0" collapsed="false">
      <c r="A46" s="20"/>
      <c r="B46" s="52"/>
      <c r="C46" s="52"/>
      <c r="D46" s="28"/>
      <c r="E46" s="52"/>
    </row>
    <row r="47" customFormat="false" ht="15" hidden="false" customHeight="true" outlineLevel="0" collapsed="false">
      <c r="A47" s="20"/>
      <c r="B47" s="52"/>
      <c r="C47" s="52"/>
      <c r="D47" s="28"/>
      <c r="E47" s="52"/>
    </row>
    <row r="48" customFormat="false" ht="15" hidden="false" customHeight="true" outlineLevel="0" collapsed="false">
      <c r="A48" s="20"/>
      <c r="B48" s="52"/>
      <c r="C48" s="52"/>
      <c r="D48" s="28"/>
      <c r="E48" s="52"/>
    </row>
    <row r="49" customFormat="false" ht="15" hidden="false" customHeight="true" outlineLevel="0" collapsed="false">
      <c r="A49" s="20"/>
      <c r="B49" s="52"/>
      <c r="C49" s="52"/>
      <c r="D49" s="28"/>
      <c r="E49" s="52"/>
    </row>
    <row r="50" customFormat="false" ht="15" hidden="false" customHeight="true" outlineLevel="0" collapsed="false">
      <c r="A50" s="20"/>
      <c r="B50" s="52"/>
      <c r="C50" s="52"/>
      <c r="D50" s="28"/>
      <c r="E50" s="52"/>
    </row>
    <row r="51" customFormat="false" ht="15" hidden="false" customHeight="true" outlineLevel="0" collapsed="false">
      <c r="A51" s="20"/>
      <c r="B51" s="52"/>
      <c r="C51" s="52"/>
      <c r="D51" s="28"/>
      <c r="E51" s="52"/>
    </row>
    <row r="52" customFormat="false" ht="15" hidden="false" customHeight="true" outlineLevel="0" collapsed="false">
      <c r="A52" s="20"/>
      <c r="B52" s="52"/>
      <c r="C52" s="52"/>
      <c r="D52" s="28"/>
      <c r="E52" s="52"/>
    </row>
    <row r="53" customFormat="false" ht="15" hidden="false" customHeight="true" outlineLevel="0" collapsed="false">
      <c r="A53" s="20"/>
      <c r="B53" s="52"/>
      <c r="C53" s="52"/>
      <c r="D53" s="28"/>
      <c r="E53" s="52"/>
    </row>
    <row r="54" customFormat="false" ht="15" hidden="false" customHeight="true" outlineLevel="0" collapsed="false">
      <c r="A54" s="20"/>
      <c r="B54" s="52"/>
      <c r="C54" s="52"/>
      <c r="D54" s="28"/>
      <c r="E54" s="52"/>
    </row>
    <row r="55" customFormat="false" ht="15" hidden="false" customHeight="true" outlineLevel="0" collapsed="false">
      <c r="A55" s="20"/>
      <c r="B55" s="52"/>
      <c r="C55" s="52"/>
      <c r="D55" s="28"/>
      <c r="E55" s="52"/>
    </row>
    <row r="56" customFormat="false" ht="15" hidden="false" customHeight="true" outlineLevel="0" collapsed="false">
      <c r="A56" s="20"/>
      <c r="B56" s="52"/>
      <c r="C56" s="52"/>
      <c r="D56" s="28"/>
      <c r="E56" s="52"/>
    </row>
    <row r="57" customFormat="false" ht="15" hidden="false" customHeight="true" outlineLevel="0" collapsed="false">
      <c r="A57" s="20"/>
      <c r="B57" s="52"/>
      <c r="C57" s="52"/>
      <c r="D57" s="28"/>
      <c r="E57" s="52"/>
    </row>
    <row r="58" customFormat="false" ht="15" hidden="false" customHeight="true" outlineLevel="0" collapsed="false">
      <c r="A58" s="20"/>
      <c r="B58" s="52"/>
      <c r="C58" s="52"/>
      <c r="D58" s="28"/>
      <c r="E58" s="52"/>
    </row>
    <row r="59" customFormat="false" ht="15" hidden="false" customHeight="true" outlineLevel="0" collapsed="false">
      <c r="A59" s="20"/>
      <c r="B59" s="52"/>
      <c r="C59" s="52"/>
      <c r="D59" s="28"/>
      <c r="E59" s="52"/>
    </row>
    <row r="60" customFormat="false" ht="15" hidden="false" customHeight="true" outlineLevel="0" collapsed="false">
      <c r="A60" s="20"/>
      <c r="B60" s="52"/>
      <c r="C60" s="52"/>
      <c r="D60" s="28"/>
      <c r="E60" s="52"/>
    </row>
    <row r="61" customFormat="false" ht="15" hidden="false" customHeight="true" outlineLevel="0" collapsed="false">
      <c r="A61" s="20"/>
      <c r="B61" s="52"/>
      <c r="C61" s="52"/>
      <c r="D61" s="28"/>
      <c r="E61" s="52"/>
    </row>
    <row r="62" customFormat="false" ht="15" hidden="false" customHeight="true" outlineLevel="0" collapsed="false">
      <c r="A62" s="20"/>
      <c r="B62" s="52"/>
      <c r="C62" s="52"/>
      <c r="D62" s="28"/>
      <c r="E62" s="52"/>
    </row>
    <row r="63" customFormat="false" ht="15" hidden="false" customHeight="true" outlineLevel="0" collapsed="false">
      <c r="A63" s="20"/>
      <c r="B63" s="52"/>
      <c r="C63" s="52"/>
      <c r="D63" s="28"/>
      <c r="E63" s="52"/>
    </row>
    <row r="64" customFormat="false" ht="15" hidden="false" customHeight="true" outlineLevel="0" collapsed="false">
      <c r="A64" s="20"/>
      <c r="B64" s="52"/>
      <c r="C64" s="52"/>
      <c r="D64" s="28"/>
      <c r="E64" s="52"/>
    </row>
  </sheetData>
  <dataValidations count="3">
    <dataValidation allowBlank="true" error="Please enter a number of 0 or more." errorStyle="stop" errorTitle="Number" operator="greaterThanOrEqual" showDropDown="false" showErrorMessage="true" showInputMessage="false" sqref="D5:D64" type="decimal">
      <formula1>0</formula1>
      <formula2>0</formula2>
    </dataValidation>
    <dataValidation allowBlank="true" errorStyle="stop" operator="between" showDropDown="false" showErrorMessage="false" showInputMessage="false" sqref="C5:C64" type="list">
      <formula1>"Inflow,Outflow"</formula1>
      <formula2>0</formula2>
    </dataValidation>
    <dataValidation allowBlank="true" error="Please enter a date, e.g. 2026-11-02" errorStyle="stop" errorTitle="Date" operator="greaterThan" showDropDown="false" showErrorMessage="true" showInputMessage="false" sqref="A5:A64" type="date">
      <formula1>DATE(2000,1,1)</formula1>
      <formula2>0</formula2>
    </dataValidation>
  </dataValidations>
  <hyperlinks>
    <hyperlink ref="A8" r:id="rId1" display="Full version: up to 60 one-off items →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2026-10-26T09:38:40Z</dcterms:created>
  <dc:creator>openpyxl</dc:creator>
  <dc:description/>
  <dc:language>en-US</dc:language>
  <cp:lastModifiedBy/>
  <dcterms:modified xsi:type="dcterms:W3CDTF">2026-10-26T09:54:12Z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